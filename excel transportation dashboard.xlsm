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cel transport dataset\new dashboard video\"/>
    </mc:Choice>
  </mc:AlternateContent>
  <xr:revisionPtr revIDLastSave="0" documentId="13_ncr:1_{0CDBD188-78B0-492A-BDF2-A09D4C859915}" xr6:coauthVersionLast="36" xr6:coauthVersionMax="36" xr10:uidLastSave="{00000000-0000-0000-0000-000000000000}"/>
  <bookViews>
    <workbookView xWindow="0" yWindow="0" windowWidth="24000" windowHeight="10755" activeTab="2" xr2:uid="{D883B138-882E-41EE-B308-A9ABA6BD39A9}"/>
  </bookViews>
  <sheets>
    <sheet name="Analysis_01" sheetId="1" r:id="rId1"/>
    <sheet name="Dim_Demographics" sheetId="2" r:id="rId2"/>
    <sheet name="Dashboard" sheetId="6" r:id="rId3"/>
  </sheets>
  <calcPr calcId="191029"/>
  <pivotCaches>
    <pivotCache cacheId="147" r:id="rId4"/>
    <pivotCache cacheId="150" r:id="rId5"/>
    <pivotCache cacheId="153" r:id="rId6"/>
    <pivotCache cacheId="156" r:id="rId7"/>
    <pivotCache cacheId="159" r:id="rId8"/>
    <pivotCache cacheId="162" r:id="rId9"/>
    <pivotCache cacheId="165" r:id="rId10"/>
    <pivotCache cacheId="168" r:id="rId11"/>
    <pivotCache cacheId="171" r:id="rId12"/>
    <pivotCache cacheId="174" r:id="rId13"/>
    <pivotCache cacheId="177" r:id="rId14"/>
    <pivotCache cacheId="180" r:id="rId15"/>
    <pivotCache cacheId="183" r:id="rId16"/>
  </pivotCaches>
  <fileRecoveryPr repairLoad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im_buses_33fc92fc-7cd4-4ce9-9573-db353a64a24b" name="Dim_buses" connection="Query - Dim_buses"/>
          <x15:modelTable id="Dim_demographics_d4c1241c-d24d-419a-9e54-3d58923d5487" name="Dim_demographics" connection="Query - Dim_demographics"/>
          <x15:modelTable id="Dim_routes_273c4866-f54a-438f-bb99-4dfaccfef366" name="Dim_routes" connection="Query - Dim_routes"/>
          <x15:modelTable id="Facttable_ridership_cd36899f-5971-4088-ae9f-bf42ffea66ed" name="Facttable_ridership" connection="Query - Facttable_ridership"/>
          <x15:modelTable id="Dim_DateTable_a60a398d-def5-49db-8430-89eb7ebf1cdb" name="Dim_DateTable" connection="Query - Dim_DateTable"/>
          <x15:modelTable id="Calculations_2221d6a2-f2fa-4c49-9a1b-6d05680c5b02" name="Calculations" connection="Query - Calculations"/>
        </x15:modelTables>
        <x15:modelRelationships>
          <x15:modelRelationship fromTable="Dim_buses" fromColumn="RouteID" toTable="Dim_routes" toColumn="RouteID"/>
          <x15:modelRelationship fromTable="Facttable_ridership" fromColumn="BusID" toTable="Dim_buses" toColumn="BusID"/>
          <x15:modelRelationship fromTable="Facttable_ridership" fromColumn="Date" toTable="Dim_DateTable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Facttable_ridership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  <x16:modelTimeGrouping tableName="Facttable_ridership" columnName="Time" columnId="Time">
                <x16:calculatedTimeColumn columnName="Time (Hour)" columnId="Time (Hour)" contentType="hours" isSelected="1"/>
                <x16:calculatedTimeColumn columnName="Time (Minute)" columnId="Time (Minute)" contentType="minute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AT20" i="1" l="1"/>
  <c r="AT21" i="1"/>
  <c r="AT22" i="1"/>
  <c r="AS21" i="1"/>
  <c r="AS22" i="1"/>
  <c r="AS20" i="1"/>
  <c r="AR21" i="1"/>
  <c r="AR22" i="1"/>
  <c r="AR20" i="1"/>
  <c r="AQ19" i="1"/>
  <c r="AQ20" i="1"/>
  <c r="AQ21" i="1"/>
  <c r="AQ22" i="1"/>
  <c r="AP20" i="1"/>
  <c r="AP21" i="1"/>
  <c r="AP22" i="1"/>
  <c r="AP19" i="1"/>
  <c r="AJ8" i="1"/>
  <c r="AJ9" i="1"/>
  <c r="AJ10" i="1"/>
  <c r="AJ11" i="1"/>
  <c r="AJ12" i="1"/>
  <c r="AJ13" i="1"/>
  <c r="AJ14" i="1"/>
  <c r="AJ15" i="1"/>
  <c r="AI9" i="1"/>
  <c r="AI10" i="1"/>
  <c r="AI11" i="1"/>
  <c r="AI12" i="1"/>
  <c r="AI13" i="1"/>
  <c r="AI14" i="1"/>
  <c r="AI15" i="1"/>
  <c r="AI8" i="1"/>
  <c r="AK9" i="1" l="1"/>
  <c r="AK12" i="1"/>
  <c r="AK10" i="1"/>
  <c r="AL10" i="1" s="1"/>
  <c r="AK13" i="1"/>
  <c r="AL13" i="1" s="1"/>
  <c r="AL12" i="1"/>
  <c r="AK15" i="1"/>
  <c r="AL15" i="1" s="1"/>
  <c r="AK11" i="1"/>
  <c r="AL11" i="1" s="1"/>
  <c r="AK14" i="1"/>
  <c r="AL14" i="1" s="1"/>
  <c r="AA19" i="1"/>
  <c r="Z26" i="1" s="1"/>
  <c r="U27" i="1"/>
  <c r="U26" i="1"/>
  <c r="U22" i="1"/>
  <c r="U24" i="1"/>
  <c r="V24" i="1"/>
  <c r="V23" i="1"/>
  <c r="U23" i="1"/>
  <c r="M28" i="1"/>
  <c r="N28" i="1"/>
  <c r="N27" i="1"/>
  <c r="M27" i="1"/>
  <c r="M23" i="1"/>
  <c r="N23" i="1"/>
  <c r="N22" i="1"/>
  <c r="M22" i="1"/>
  <c r="M18" i="1"/>
  <c r="N18" i="1"/>
  <c r="N17" i="1"/>
  <c r="M17" i="1"/>
  <c r="V27" i="1"/>
  <c r="AL9" i="1" l="1"/>
  <c r="AI24" i="1"/>
  <c r="AI21" i="1" s="1"/>
  <c r="AB1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27109B-5E7D-4BE5-9A61-89BCE1769E4B}" name="Query - Calculations" description="Connection to the 'Calculations' query in the workbook." type="100" refreshedVersion="6" minRefreshableVersion="5">
    <extLst>
      <ext xmlns:x15="http://schemas.microsoft.com/office/spreadsheetml/2010/11/main" uri="{DE250136-89BD-433C-8126-D09CA5730AF9}">
        <x15:connection id="70c9891e-4ca7-425f-9f4c-d3fff2b44693">
          <x15:oledbPr connection="Provider=Microsoft.Mashup.OleDb.1;Data Source=$Workbook$;Location=Calculations;Extended Properties=&quot;&quot;">
            <x15:dbTables>
              <x15:dbTable name="Calculations"/>
            </x15:dbTables>
          </x15:oledbPr>
        </x15:connection>
      </ext>
    </extLst>
  </connection>
  <connection id="2" xr16:uid="{14A9A971-A851-4C06-BD89-8CC2E103DC58}" name="Query - Dim_buses" description="Connection to the 'Dim_buses' query in the workbook." type="100" refreshedVersion="6" minRefreshableVersion="5">
    <extLst>
      <ext xmlns:x15="http://schemas.microsoft.com/office/spreadsheetml/2010/11/main" uri="{DE250136-89BD-433C-8126-D09CA5730AF9}">
        <x15:connection id="c461f44f-d000-4329-85a5-17f514bfec02">
          <x15:oledbPr connection="Provider=Microsoft.Mashup.OleDb.1;Data Source=$Workbook$;Location=Dim_buses;Extended Properties=&quot;&quot;">
            <x15:dbTables>
              <x15:dbTable name="Dim_buses"/>
            </x15:dbTables>
          </x15:oledbPr>
        </x15:connection>
      </ext>
    </extLst>
  </connection>
  <connection id="3" xr16:uid="{7DAE7B9D-33E6-4918-899D-708D737EAC55}" name="Query - Dim_DateTable" description="Connection to the 'Dim_DateTable' query in the workbook." type="100" refreshedVersion="6" minRefreshableVersion="5">
    <extLst>
      <ext xmlns:x15="http://schemas.microsoft.com/office/spreadsheetml/2010/11/main" uri="{DE250136-89BD-433C-8126-D09CA5730AF9}">
        <x15:connection id="a3ba1915-7d37-4064-8c0e-aafbb8e14dd8"/>
      </ext>
    </extLst>
  </connection>
  <connection id="4" xr16:uid="{8EAC5E13-F6F1-450B-A218-CAA7D44A4306}" name="Query - Dim_demographics" description="Connection to the 'Dim_demographics' query in the workbook." type="100" refreshedVersion="6" minRefreshableVersion="5">
    <extLst>
      <ext xmlns:x15="http://schemas.microsoft.com/office/spreadsheetml/2010/11/main" uri="{DE250136-89BD-433C-8126-D09CA5730AF9}">
        <x15:connection id="7901cf1f-9476-4479-ac29-0770d0aaf8de">
          <x15:oledbPr connection="Provider=Microsoft.Mashup.OleDb.1;Data Source=$Workbook$;Location=Dim_demographics;Extended Properties=&quot;&quot;">
            <x15:dbTables>
              <x15:dbTable name="Dim_demographics"/>
            </x15:dbTables>
          </x15:oledbPr>
        </x15:connection>
      </ext>
    </extLst>
  </connection>
  <connection id="5" xr16:uid="{E79E1BC0-279F-48A1-B856-482073B6DE7B}" name="Query - Dim_routes" description="Connection to the 'Dim_routes' query in the workbook." type="100" refreshedVersion="6" minRefreshableVersion="5">
    <extLst>
      <ext xmlns:x15="http://schemas.microsoft.com/office/spreadsheetml/2010/11/main" uri="{DE250136-89BD-433C-8126-D09CA5730AF9}">
        <x15:connection id="9ade6f28-161b-4e32-a59f-7078667936fb">
          <x15:oledbPr connection="Provider=Microsoft.Mashup.OleDb.1;Data Source=$Workbook$;Location=Dim_routes;Extended Properties=&quot;&quot;">
            <x15:dbTables>
              <x15:dbTable name="Dim_routes"/>
            </x15:dbTables>
          </x15:oledbPr>
        </x15:connection>
      </ext>
    </extLst>
  </connection>
  <connection id="6" xr16:uid="{D4DD65C3-10CF-4D5B-9198-182B452929F7}" name="Query - Facttable_ridership" description="Connection to the 'Facttable_ridership' query in the workbook." type="100" refreshedVersion="6" minRefreshableVersion="5">
    <extLst>
      <ext xmlns:x15="http://schemas.microsoft.com/office/spreadsheetml/2010/11/main" uri="{DE250136-89BD-433C-8126-D09CA5730AF9}">
        <x15:connection id="86a0d228-5d43-4a0b-ad7e-c2ad3320e614">
          <x15:oledbPr connection="Provider=Microsoft.Mashup.OleDb.1;Data Source=$Workbook$;Location=Facttable_ridership;Extended Properties=&quot;&quot;">
            <x15:dbTables>
              <x15:dbTable name="Facttable_ridership"/>
            </x15:dbTables>
          </x15:oledbPr>
        </x15:connection>
      </ext>
    </extLst>
  </connection>
  <connection id="7" xr16:uid="{D7B253FF-2334-49CE-B854-834E301402F3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<sst xmlns="http://schemas.openxmlformats.org/spreadsheetml/2006/main" count="103" uniqueCount="88">
  <si>
    <t>5AM-10AM</t>
  </si>
  <si>
    <t>12AM-5AM</t>
  </si>
  <si>
    <t>10AM-3PM</t>
  </si>
  <si>
    <t>Count of Occupation</t>
  </si>
  <si>
    <t>Count of Age</t>
  </si>
  <si>
    <t>Count of BusID</t>
  </si>
  <si>
    <t>TotalTransaction</t>
  </si>
  <si>
    <t>Average Age</t>
  </si>
  <si>
    <t>BusNumber</t>
  </si>
  <si>
    <t>Bus 1</t>
  </si>
  <si>
    <t>Bus 10</t>
  </si>
  <si>
    <t>Bus 11</t>
  </si>
  <si>
    <t>Bus 12</t>
  </si>
  <si>
    <t>Bus 13</t>
  </si>
  <si>
    <t>Bus 14</t>
  </si>
  <si>
    <t>Bus 15</t>
  </si>
  <si>
    <t>Bus 16</t>
  </si>
  <si>
    <t>Bus 17</t>
  </si>
  <si>
    <t>Bus 18</t>
  </si>
  <si>
    <t>Bus 19</t>
  </si>
  <si>
    <t>Bus 2</t>
  </si>
  <si>
    <t>Bus 20</t>
  </si>
  <si>
    <t>Bus 21</t>
  </si>
  <si>
    <t>Bus 22</t>
  </si>
  <si>
    <t>Bus 23</t>
  </si>
  <si>
    <t>Bus 24</t>
  </si>
  <si>
    <t>Bus 25</t>
  </si>
  <si>
    <t>Bus 26</t>
  </si>
  <si>
    <t>Bus 27</t>
  </si>
  <si>
    <t>Bus 28</t>
  </si>
  <si>
    <t>Bus 29</t>
  </si>
  <si>
    <t>Bus 3</t>
  </si>
  <si>
    <t>Bus 30</t>
  </si>
  <si>
    <t>Bus 31</t>
  </si>
  <si>
    <t>Bus 32</t>
  </si>
  <si>
    <t>Bus 33</t>
  </si>
  <si>
    <t>Bus 34</t>
  </si>
  <si>
    <t>Bus 35</t>
  </si>
  <si>
    <t>Bus 36</t>
  </si>
  <si>
    <t>Bus 37</t>
  </si>
  <si>
    <t>Bus 38</t>
  </si>
  <si>
    <t>Bus 39</t>
  </si>
  <si>
    <t>Bus 4</t>
  </si>
  <si>
    <t>Bus 40</t>
  </si>
  <si>
    <t>Bus 5</t>
  </si>
  <si>
    <t>Bus 6</t>
  </si>
  <si>
    <t>Bus 7</t>
  </si>
  <si>
    <t>Bus 8</t>
  </si>
  <si>
    <t>Bus 9</t>
  </si>
  <si>
    <t>Total Rider (Passanger)</t>
  </si>
  <si>
    <t>Avg Ride Per Trip</t>
  </si>
  <si>
    <t>East-West Express</t>
  </si>
  <si>
    <t>South Line</t>
  </si>
  <si>
    <t>Buiest Route</t>
  </si>
  <si>
    <t>Least Busy Route</t>
  </si>
  <si>
    <t>RouteName</t>
  </si>
  <si>
    <t>Time Group</t>
  </si>
  <si>
    <t>Time</t>
  </si>
  <si>
    <t>Off-Peak Hour of Operation</t>
  </si>
  <si>
    <t>Peak Hour of Operation</t>
  </si>
  <si>
    <t>Year</t>
  </si>
  <si>
    <t>Total Rider (Passanger)2</t>
  </si>
  <si>
    <t>YOY Percentage change</t>
  </si>
  <si>
    <t>Indicator</t>
  </si>
  <si>
    <t>▲</t>
  </si>
  <si>
    <t>▼</t>
  </si>
  <si>
    <t>Caption:</t>
  </si>
  <si>
    <t>Day Name</t>
  </si>
  <si>
    <t>Fri</t>
  </si>
  <si>
    <t>Mon</t>
  </si>
  <si>
    <t>Sat</t>
  </si>
  <si>
    <t>Sun</t>
  </si>
  <si>
    <t>Thu</t>
  </si>
  <si>
    <t>Tue</t>
  </si>
  <si>
    <t>Wed</t>
  </si>
  <si>
    <t>Average</t>
  </si>
  <si>
    <t>Above Average</t>
  </si>
  <si>
    <t>Above Average Percentage</t>
  </si>
  <si>
    <t>Month Name</t>
  </si>
  <si>
    <t>Dec</t>
  </si>
  <si>
    <t>Jan</t>
  </si>
  <si>
    <t>Bus Utilization Category</t>
  </si>
  <si>
    <t>Over-Utilized</t>
  </si>
  <si>
    <t>Under-Utilized</t>
  </si>
  <si>
    <t>Well-Utilized</t>
  </si>
  <si>
    <t>Total Buses</t>
  </si>
  <si>
    <t>Pct</t>
  </si>
  <si>
    <t>Pct 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</si>
</sst>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Wingdings 3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0" fillId="0" borderId="0" xfId="0" pivotButton="1"/>
    <xf numFmtId="0" fontId="0" fillId="0" borderId="0" xfId="0" applyNumberFormat="1"/>
    <xf numFmtId="3" fontId="0" fillId="0" borderId="0" xfId="0" applyNumberFormat="1"/>
    <xf numFmtId="1" fontId="0" fillId="0" borderId="0" xfId="0" applyNumberFormat="1"/>
    <xf numFmtId="0" fontId="0" fillId="3" borderId="0" xfId="0" applyFill="1"/>
    <xf numFmtId="0" fontId="0" fillId="3" borderId="0" xfId="0" pivotButton="1" applyFill="1"/>
    <xf numFmtId="1" fontId="0" fillId="3" borderId="0" xfId="0" applyNumberFormat="1" applyFill="1"/>
    <xf numFmtId="19" fontId="0" fillId="0" borderId="0" xfId="0" applyNumberFormat="1"/>
    <xf numFmtId="164" fontId="0" fillId="0" borderId="0" xfId="0" applyNumberFormat="1"/>
    <xf numFmtId="19" fontId="0" fillId="0" borderId="0" xfId="0" pivotButton="1" applyNumberFormat="1"/>
    <xf numFmtId="0" fontId="0" fillId="4" borderId="0" xfId="0" applyFill="1"/>
    <xf numFmtId="10" fontId="0" fillId="0" borderId="0" xfId="0" applyNumberFormat="1"/>
    <xf numFmtId="0" fontId="2" fillId="0" borderId="0" xfId="0" applyFont="1"/>
    <xf numFmtId="0" fontId="1" fillId="0" borderId="0" xfId="0" pivotButton="1" applyFont="1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10" fontId="0" fillId="0" borderId="0" xfId="0" pivotButton="1" applyNumberFormat="1"/>
    <xf numFmtId="9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D0D0D"/>
      <color rgb="FF0D0D0C"/>
      <color rgb="FF595959"/>
      <color rgb="FF594242"/>
      <color rgb="FF595947"/>
      <color rgb="FFFB9937"/>
      <color rgb="FF5D37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0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9" Type="http://schemas.openxmlformats.org/officeDocument/2006/relationships/customXml" Target="../customXml/item17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2.xml"/><Relationship Id="rId42" Type="http://schemas.openxmlformats.org/officeDocument/2006/relationships/customXml" Target="../customXml/item20.xml"/><Relationship Id="rId47" Type="http://schemas.openxmlformats.org/officeDocument/2006/relationships/customXml" Target="../customXml/item25.xml"/><Relationship Id="rId50" Type="http://schemas.openxmlformats.org/officeDocument/2006/relationships/customXml" Target="../customXml/item28.xml"/><Relationship Id="rId55" Type="http://schemas.openxmlformats.org/officeDocument/2006/relationships/customXml" Target="../customXml/item33.xml"/><Relationship Id="rId7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3.xml"/><Relationship Id="rId29" Type="http://schemas.openxmlformats.org/officeDocument/2006/relationships/customXml" Target="../customXml/item7.xml"/><Relationship Id="rId11" Type="http://schemas.openxmlformats.org/officeDocument/2006/relationships/pivotCacheDefinition" Target="pivotCache/pivotCacheDefinition8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openxmlformats.org/officeDocument/2006/relationships/customXml" Target="../customXml/item18.xml"/><Relationship Id="rId45" Type="http://schemas.openxmlformats.org/officeDocument/2006/relationships/customXml" Target="../customXml/item23.xml"/><Relationship Id="rId53" Type="http://schemas.openxmlformats.org/officeDocument/2006/relationships/customXml" Target="../customXml/item31.xml"/><Relationship Id="rId5" Type="http://schemas.openxmlformats.org/officeDocument/2006/relationships/pivotCacheDefinition" Target="pivotCache/pivotCacheDefinition2.xml"/><Relationship Id="rId19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6.xml"/><Relationship Id="rId14" Type="http://schemas.openxmlformats.org/officeDocument/2006/relationships/pivotCacheDefinition" Target="pivotCache/pivotCacheDefinition11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43" Type="http://schemas.openxmlformats.org/officeDocument/2006/relationships/customXml" Target="../customXml/item21.xml"/><Relationship Id="rId48" Type="http://schemas.openxmlformats.org/officeDocument/2006/relationships/customXml" Target="../customXml/item26.xml"/><Relationship Id="rId56" Type="http://schemas.openxmlformats.org/officeDocument/2006/relationships/customXml" Target="../customXml/item34.xml"/><Relationship Id="rId8" Type="http://schemas.openxmlformats.org/officeDocument/2006/relationships/pivotCacheDefinition" Target="pivotCache/pivotCacheDefinition5.xml"/><Relationship Id="rId51" Type="http://schemas.openxmlformats.org/officeDocument/2006/relationships/customXml" Target="../customXml/item29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9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Relationship Id="rId46" Type="http://schemas.openxmlformats.org/officeDocument/2006/relationships/customXml" Target="../customXml/item24.xml"/><Relationship Id="rId20" Type="http://schemas.openxmlformats.org/officeDocument/2006/relationships/sharedStrings" Target="sharedStrings.xml"/><Relationship Id="rId41" Type="http://schemas.openxmlformats.org/officeDocument/2006/relationships/customXml" Target="../customXml/item19.xml"/><Relationship Id="rId54" Type="http://schemas.openxmlformats.org/officeDocument/2006/relationships/customXml" Target="../customXml/item3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5" Type="http://schemas.openxmlformats.org/officeDocument/2006/relationships/pivotCacheDefinition" Target="pivotCache/pivotCacheDefinition12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49" Type="http://schemas.openxmlformats.org/officeDocument/2006/relationships/customXml" Target="../customXml/item27.xml"/><Relationship Id="rId57" Type="http://schemas.openxmlformats.org/officeDocument/2006/relationships/customXml" Target="../customXml/item35.xml"/><Relationship Id="rId10" Type="http://schemas.openxmlformats.org/officeDocument/2006/relationships/pivotCacheDefinition" Target="pivotCache/pivotCacheDefinition7.xml"/><Relationship Id="rId31" Type="http://schemas.openxmlformats.org/officeDocument/2006/relationships/customXml" Target="../customXml/item9.xml"/><Relationship Id="rId44" Type="http://schemas.openxmlformats.org/officeDocument/2006/relationships/customXml" Target="../customXml/item22.xml"/><Relationship Id="rId52" Type="http://schemas.openxmlformats.org/officeDocument/2006/relationships/customXml" Target="../customXml/item3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transportation dashboard.xlsm]Analysis_01!PivotTable7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gradFill flip="none" rotWithShape="1">
            <a:gsLst>
              <a:gs pos="0">
                <a:schemeClr val="accent4">
                  <a:lumMod val="0"/>
                  <a:lumOff val="100000"/>
                </a:schemeClr>
              </a:gs>
              <a:gs pos="35000">
                <a:schemeClr val="accent4">
                  <a:lumMod val="0"/>
                  <a:lumOff val="100000"/>
                </a:schemeClr>
              </a:gs>
              <a:gs pos="100000">
                <a:schemeClr val="accent4">
                  <a:lumMod val="100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39116306476874"/>
          <c:y val="7.1197447288661564E-2"/>
          <c:w val="0.50176102697139657"/>
          <c:h val="0.8576051054226768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Analysis_01!$S$16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4">
                    <a:lumMod val="0"/>
                    <a:lumOff val="100000"/>
                  </a:schemeClr>
                </a:gs>
                <a:gs pos="35000">
                  <a:schemeClr val="accent4">
                    <a:lumMod val="0"/>
                    <a:lumOff val="100000"/>
                  </a:schemeClr>
                </a:gs>
                <a:gs pos="100000">
                  <a:schemeClr val="accent4">
                    <a:lumMod val="100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Analysis_01!$R$17:$R$19</c:f>
              <c:strCache>
                <c:ptCount val="3"/>
                <c:pt idx="0">
                  <c:v>5AM-10AM</c:v>
                </c:pt>
                <c:pt idx="1">
                  <c:v>10AM-3PM</c:v>
                </c:pt>
                <c:pt idx="2">
                  <c:v>12AM-5AM</c:v>
                </c:pt>
              </c:strCache>
            </c:strRef>
          </c:cat>
          <c:val>
            <c:numRef>
              <c:f>Analysis_01!$S$17:$S$19</c:f>
              <c:numCache>
                <c:formatCode>#,##0</c:formatCode>
                <c:ptCount val="3"/>
                <c:pt idx="0">
                  <c:v>3021</c:v>
                </c:pt>
                <c:pt idx="1">
                  <c:v>2119</c:v>
                </c:pt>
                <c:pt idx="2">
                  <c:v>1447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E5-494C-93BD-D148EC94E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axId val="1289248000"/>
        <c:axId val="1116373936"/>
      </c:barChart>
      <c:dateAx>
        <c:axId val="128924800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6373936"/>
        <c:crosses val="autoZero"/>
        <c:auto val="0"/>
        <c:lblOffset val="100"/>
        <c:baseTimeUnit val="days"/>
      </c:dateAx>
      <c:valAx>
        <c:axId val="1116373936"/>
        <c:scaling>
          <c:orientation val="minMax"/>
        </c:scaling>
        <c:delete val="1"/>
        <c:axPos val="t"/>
        <c:numFmt formatCode="#,##0" sourceLinked="1"/>
        <c:majorTickMark val="none"/>
        <c:minorTickMark val="none"/>
        <c:tickLblPos val="nextTo"/>
        <c:crossAx val="128924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transportation dashboard.xlsm]Analysis_01!PivotTable10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8100" cap="rnd">
            <a:gradFill flip="none" rotWithShape="1">
              <a:gsLst>
                <a:gs pos="0">
                  <a:schemeClr val="accent4">
                    <a:lumMod val="0"/>
                    <a:lumOff val="100000"/>
                  </a:schemeClr>
                </a:gs>
                <a:gs pos="35000">
                  <a:schemeClr val="accent4">
                    <a:lumMod val="0"/>
                    <a:lumOff val="100000"/>
                  </a:schemeClr>
                </a:gs>
                <a:gs pos="100000">
                  <a:schemeClr val="accent4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round/>
          </a:ln>
          <a:effectLst>
            <a:glow>
              <a:schemeClr val="accent1">
                <a:alpha val="40000"/>
              </a:schemeClr>
            </a:glow>
            <a:outerShdw dir="5400000" sx="85000" sy="85000" algn="ctr" rotWithShape="0">
              <a:srgbClr val="000000">
                <a:alpha val="43137"/>
              </a:srgbClr>
            </a:outerShdw>
            <a:softEdge rad="0"/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785362620375945E-2"/>
          <c:y val="0.10256410256410256"/>
          <c:w val="0.91642927475924807"/>
          <c:h val="0.71047409283629759"/>
        </c:manualLayout>
      </c:layout>
      <c:lineChart>
        <c:grouping val="standard"/>
        <c:varyColors val="0"/>
        <c:ser>
          <c:idx val="0"/>
          <c:order val="0"/>
          <c:tx>
            <c:strRef>
              <c:f>Analysis_01!$AA$8</c:f>
              <c:strCache>
                <c:ptCount val="1"/>
                <c:pt idx="0">
                  <c:v>Total</c:v>
                </c:pt>
              </c:strCache>
            </c:strRef>
          </c:tx>
          <c:spPr>
            <a:ln w="38100" cap="rnd">
              <a:gradFill flip="none" rotWithShape="1">
                <a:gsLst>
                  <a:gs pos="0">
                    <a:schemeClr val="accent4">
                      <a:lumMod val="0"/>
                      <a:lumOff val="100000"/>
                    </a:schemeClr>
                  </a:gs>
                  <a:gs pos="35000">
                    <a:schemeClr val="accent4">
                      <a:lumMod val="0"/>
                      <a:lumOff val="100000"/>
                    </a:schemeClr>
                  </a:gs>
                  <a:gs pos="100000">
                    <a:schemeClr val="accent4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  <a:tileRect/>
              </a:gradFill>
              <a:round/>
            </a:ln>
            <a:effectLst>
              <a:glow>
                <a:schemeClr val="accent1">
                  <a:alpha val="40000"/>
                </a:schemeClr>
              </a:glow>
              <a:outerShdw dir="5400000" sx="85000" sy="85000" algn="ctr" rotWithShape="0">
                <a:srgbClr val="000000">
                  <a:alpha val="43137"/>
                </a:srgbClr>
              </a:outerShdw>
              <a:softEdge rad="0"/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Analysis_01!$Z$9:$Z$10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Analysis_01!$AA$9:$AA$10</c:f>
              <c:numCache>
                <c:formatCode>#,##0</c:formatCode>
                <c:ptCount val="2"/>
                <c:pt idx="0">
                  <c:v>5654</c:v>
                </c:pt>
                <c:pt idx="1">
                  <c:v>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80-4F70-B6D0-457E39A7A2A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493527663"/>
        <c:axId val="2087347439"/>
      </c:lineChart>
      <c:catAx>
        <c:axId val="1493527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347439"/>
        <c:crosses val="autoZero"/>
        <c:auto val="1"/>
        <c:lblAlgn val="ctr"/>
        <c:lblOffset val="100"/>
        <c:noMultiLvlLbl val="0"/>
      </c:catAx>
      <c:valAx>
        <c:axId val="2087347439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extTo"/>
        <c:crossAx val="1493527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204301075268817E-2"/>
          <c:y val="0.16005294335371828"/>
          <c:w val="0.96559139784946235"/>
          <c:h val="0.68521201713427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Analysis_01!$AJ$8</c:f>
              <c:strCache>
                <c:ptCount val="1"/>
                <c:pt idx="0">
                  <c:v>Total Rider (Passanger)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 flip="none" rotWithShape="1">
                <a:gsLst>
                  <a:gs pos="0">
                    <a:schemeClr val="accent3">
                      <a:lumMod val="0"/>
                      <a:lumOff val="100000"/>
                    </a:schemeClr>
                  </a:gs>
                  <a:gs pos="35000">
                    <a:schemeClr val="accent3">
                      <a:lumMod val="0"/>
                      <a:lumOff val="100000"/>
                    </a:schemeClr>
                  </a:gs>
                  <a:gs pos="100000">
                    <a:schemeClr val="accent3">
                      <a:lumMod val="100000"/>
                    </a:schemeClr>
                  </a:gs>
                </a:gsLst>
                <a:path path="circle">
                  <a:fillToRect r="100000" b="100000"/>
                </a:path>
                <a:tileRect l="-100000" t="-10000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F0C-4E94-B19B-487EBA638DE6}"/>
              </c:ext>
            </c:extLst>
          </c:dPt>
          <c:dPt>
            <c:idx val="4"/>
            <c:invertIfNegative val="0"/>
            <c:bubble3D val="0"/>
            <c:spPr>
              <a:gradFill flip="none" rotWithShape="1">
                <a:gsLst>
                  <a:gs pos="0">
                    <a:schemeClr val="accent3">
                      <a:lumMod val="0"/>
                      <a:lumOff val="100000"/>
                    </a:schemeClr>
                  </a:gs>
                  <a:gs pos="35000">
                    <a:schemeClr val="accent3">
                      <a:lumMod val="0"/>
                      <a:lumOff val="100000"/>
                    </a:schemeClr>
                  </a:gs>
                  <a:gs pos="100000">
                    <a:schemeClr val="accent3">
                      <a:lumMod val="100000"/>
                    </a:schemeClr>
                  </a:gs>
                </a:gsLst>
                <a:path path="circle">
                  <a:fillToRect r="100000" b="100000"/>
                </a:path>
                <a:tileRect l="-100000" t="-10000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F0C-4E94-B19B-487EBA638DE6}"/>
              </c:ext>
            </c:extLst>
          </c:dPt>
          <c:dPt>
            <c:idx val="5"/>
            <c:invertIfNegative val="0"/>
            <c:bubble3D val="0"/>
            <c:spPr>
              <a:gradFill flip="none" rotWithShape="1">
                <a:gsLst>
                  <a:gs pos="0">
                    <a:schemeClr val="accent3">
                      <a:lumMod val="0"/>
                      <a:lumOff val="100000"/>
                    </a:schemeClr>
                  </a:gs>
                  <a:gs pos="35000">
                    <a:schemeClr val="accent3">
                      <a:lumMod val="0"/>
                      <a:lumOff val="100000"/>
                    </a:schemeClr>
                  </a:gs>
                  <a:gs pos="100000">
                    <a:schemeClr val="accent3">
                      <a:lumMod val="100000"/>
                    </a:schemeClr>
                  </a:gs>
                </a:gsLst>
                <a:path path="circle">
                  <a:fillToRect r="100000" b="100000"/>
                </a:path>
                <a:tileRect l="-100000" t="-10000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F0C-4E94-B19B-487EBA638DE6}"/>
              </c:ext>
            </c:extLst>
          </c:dPt>
          <c:dPt>
            <c:idx val="6"/>
            <c:invertIfNegative val="0"/>
            <c:bubble3D val="0"/>
            <c:spPr>
              <a:gradFill flip="none" rotWithShape="1">
                <a:gsLst>
                  <a:gs pos="0">
                    <a:schemeClr val="accent3">
                      <a:lumMod val="0"/>
                      <a:lumOff val="100000"/>
                    </a:schemeClr>
                  </a:gs>
                  <a:gs pos="35000">
                    <a:schemeClr val="accent3">
                      <a:lumMod val="0"/>
                      <a:lumOff val="100000"/>
                    </a:schemeClr>
                  </a:gs>
                  <a:gs pos="100000">
                    <a:schemeClr val="accent3">
                      <a:lumMod val="100000"/>
                    </a:schemeClr>
                  </a:gs>
                </a:gsLst>
                <a:path path="circle">
                  <a:fillToRect r="100000" b="100000"/>
                </a:path>
                <a:tileRect l="-100000" t="-10000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F0C-4E94-B19B-487EBA638DE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Analysis_01!$AI$9:$AI$15</c:f>
              <c:strCache>
                <c:ptCount val="7"/>
                <c:pt idx="0">
                  <c:v>Sun</c:v>
                </c:pt>
                <c:pt idx="1">
                  <c:v>Mon</c:v>
                </c:pt>
                <c:pt idx="2">
                  <c:v>Tue</c:v>
                </c:pt>
                <c:pt idx="3">
                  <c:v>Wed</c:v>
                </c:pt>
                <c:pt idx="4">
                  <c:v>Thu</c:v>
                </c:pt>
                <c:pt idx="5">
                  <c:v>Fri</c:v>
                </c:pt>
                <c:pt idx="6">
                  <c:v>Sat</c:v>
                </c:pt>
              </c:strCache>
            </c:strRef>
          </c:cat>
          <c:val>
            <c:numRef>
              <c:f>Analysis_01!$AJ$9:$AJ$15</c:f>
              <c:numCache>
                <c:formatCode>General</c:formatCode>
                <c:ptCount val="7"/>
                <c:pt idx="0">
                  <c:v>1185</c:v>
                </c:pt>
                <c:pt idx="1">
                  <c:v>1085</c:v>
                </c:pt>
                <c:pt idx="2">
                  <c:v>983</c:v>
                </c:pt>
                <c:pt idx="3">
                  <c:v>887</c:v>
                </c:pt>
                <c:pt idx="4">
                  <c:v>889</c:v>
                </c:pt>
                <c:pt idx="5">
                  <c:v>762</c:v>
                </c:pt>
                <c:pt idx="6">
                  <c:v>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C-4E94-B19B-487EBA638DE6}"/>
            </c:ext>
          </c:extLst>
        </c:ser>
        <c:ser>
          <c:idx val="2"/>
          <c:order val="2"/>
          <c:tx>
            <c:strRef>
              <c:f>Analysis_01!$AL$8</c:f>
              <c:strCache>
                <c:ptCount val="1"/>
                <c:pt idx="0">
                  <c:v>Above Average</c:v>
                </c:pt>
              </c:strCache>
            </c:strRef>
          </c:tx>
          <c:spPr>
            <a:gradFill flip="none" rotWithShape="1">
              <a:gsLst>
                <a:gs pos="0">
                  <a:schemeClr val="accent4">
                    <a:lumMod val="0"/>
                    <a:lumOff val="100000"/>
                  </a:schemeClr>
                </a:gs>
                <a:gs pos="35000">
                  <a:schemeClr val="accent4">
                    <a:lumMod val="0"/>
                    <a:lumOff val="100000"/>
                  </a:schemeClr>
                </a:gs>
                <a:gs pos="100000">
                  <a:schemeClr val="accent4">
                    <a:lumMod val="100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F0C-4E94-B19B-487EBA638DE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F0C-4E94-B19B-487EBA638DE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F0C-4E94-B19B-487EBA638DE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F0C-4E94-B19B-487EBA638D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Analysis_01!$AL$9:$AL$15</c:f>
              <c:numCache>
                <c:formatCode>General</c:formatCode>
                <c:ptCount val="7"/>
                <c:pt idx="0">
                  <c:v>1185</c:v>
                </c:pt>
                <c:pt idx="1">
                  <c:v>1085</c:v>
                </c:pt>
                <c:pt idx="2">
                  <c:v>983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0C-4E94-B19B-487EBA638D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6"/>
        <c:overlap val="100"/>
        <c:axId val="2087115183"/>
        <c:axId val="871941119"/>
      </c:barChart>
      <c:lineChart>
        <c:grouping val="standard"/>
        <c:varyColors val="0"/>
        <c:ser>
          <c:idx val="1"/>
          <c:order val="1"/>
          <c:tx>
            <c:strRef>
              <c:f>Analysis_01!$AK$8</c:f>
              <c:strCache>
                <c:ptCount val="1"/>
                <c:pt idx="0">
                  <c:v>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Analysis_01!$AK$9:$AK$15</c:f>
              <c:numCache>
                <c:formatCode>General</c:formatCode>
                <c:ptCount val="7"/>
                <c:pt idx="0">
                  <c:v>941</c:v>
                </c:pt>
                <c:pt idx="1">
                  <c:v>941</c:v>
                </c:pt>
                <c:pt idx="2">
                  <c:v>941</c:v>
                </c:pt>
                <c:pt idx="3">
                  <c:v>941</c:v>
                </c:pt>
                <c:pt idx="4">
                  <c:v>941</c:v>
                </c:pt>
                <c:pt idx="5">
                  <c:v>941</c:v>
                </c:pt>
                <c:pt idx="6">
                  <c:v>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0C-4E94-B19B-487EBA638D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87115183"/>
        <c:axId val="871941119"/>
      </c:lineChart>
      <c:catAx>
        <c:axId val="2087115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941119"/>
        <c:crosses val="autoZero"/>
        <c:auto val="1"/>
        <c:lblAlgn val="ctr"/>
        <c:lblOffset val="100"/>
        <c:noMultiLvlLbl val="0"/>
      </c:catAx>
      <c:valAx>
        <c:axId val="871941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8711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transportation dashboard.xlsm]Analysis_01!PivotTable12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41275" cap="rnd">
            <a:gradFill flip="none" rotWithShape="1">
              <a:gsLst>
                <a:gs pos="0">
                  <a:schemeClr val="accent4">
                    <a:lumMod val="0"/>
                    <a:lumOff val="100000"/>
                  </a:schemeClr>
                </a:gs>
                <a:gs pos="35000">
                  <a:schemeClr val="accent4">
                    <a:lumMod val="0"/>
                    <a:lumOff val="100000"/>
                  </a:schemeClr>
                </a:gs>
                <a:gs pos="100000">
                  <a:schemeClr val="accent4">
                    <a:lumMod val="100000"/>
                  </a:schemeClr>
                </a:gs>
              </a:gsLst>
              <a:path path="circle">
                <a:fillToRect r="100000" b="100000"/>
              </a:path>
              <a:tileRect l="-100000" t="-100000"/>
            </a:gra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991526782624838"/>
          <c:y val="7.0335958005249347E-2"/>
          <c:w val="0.82328505233142157"/>
          <c:h val="0.7356456419291455"/>
        </c:manualLayout>
      </c:layout>
      <c:lineChart>
        <c:grouping val="standard"/>
        <c:varyColors val="0"/>
        <c:ser>
          <c:idx val="0"/>
          <c:order val="0"/>
          <c:tx>
            <c:strRef>
              <c:f>Analysis_01!$AQ$8</c:f>
              <c:strCache>
                <c:ptCount val="1"/>
                <c:pt idx="0">
                  <c:v>Total</c:v>
                </c:pt>
              </c:strCache>
            </c:strRef>
          </c:tx>
          <c:spPr>
            <a:ln w="41275" cap="rnd">
              <a:gradFill flip="none" rotWithShape="1">
                <a:gsLst>
                  <a:gs pos="0">
                    <a:schemeClr val="accent4">
                      <a:lumMod val="0"/>
                      <a:lumOff val="100000"/>
                    </a:schemeClr>
                  </a:gs>
                  <a:gs pos="35000">
                    <a:schemeClr val="accent4">
                      <a:lumMod val="0"/>
                      <a:lumOff val="100000"/>
                    </a:schemeClr>
                  </a:gs>
                  <a:gs pos="100000">
                    <a:schemeClr val="accent4">
                      <a:lumMod val="100000"/>
                    </a:schemeClr>
                  </a:gs>
                </a:gsLst>
                <a:path path="circle">
                  <a:fillToRect r="100000" b="100000"/>
                </a:path>
                <a:tileRect l="-100000" t="-100000"/>
              </a:gra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Analysis_01!$AP$9:$AP$10</c:f>
              <c:strCache>
                <c:ptCount val="2"/>
                <c:pt idx="0">
                  <c:v>Jan</c:v>
                </c:pt>
                <c:pt idx="1">
                  <c:v>Dec</c:v>
                </c:pt>
              </c:strCache>
            </c:strRef>
          </c:cat>
          <c:val>
            <c:numRef>
              <c:f>Analysis_01!$AQ$9:$AQ$10</c:f>
              <c:numCache>
                <c:formatCode>#,##0</c:formatCode>
                <c:ptCount val="2"/>
                <c:pt idx="0">
                  <c:v>933</c:v>
                </c:pt>
                <c:pt idx="1">
                  <c:v>5654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4-4B6A-A9D3-950DEBE36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0393103"/>
        <c:axId val="493592543"/>
      </c:lineChart>
      <c:catAx>
        <c:axId val="1500393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92543"/>
        <c:crosses val="autoZero"/>
        <c:auto val="1"/>
        <c:lblAlgn val="ctr"/>
        <c:lblOffset val="100"/>
        <c:noMultiLvlLbl val="0"/>
      </c:catAx>
      <c:valAx>
        <c:axId val="493592543"/>
        <c:scaling>
          <c:orientation val="minMax"/>
        </c:scaling>
        <c:delete val="0"/>
        <c:axPos val="l"/>
        <c:numFmt formatCode="0,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393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206833120218944"/>
          <c:y val="6.5702584413382864E-2"/>
          <c:w val="0.78749758844247042"/>
          <c:h val="0.84529639075960494"/>
        </c:manualLayout>
      </c:layout>
      <c:doughnutChart>
        <c:varyColors val="1"/>
        <c:ser>
          <c:idx val="0"/>
          <c:order val="0"/>
          <c:tx>
            <c:strRef>
              <c:f>Analysis_01!$AP$20</c:f>
              <c:strCache>
                <c:ptCount val="1"/>
                <c:pt idx="0">
                  <c:v>Over-Utilized</c:v>
                </c:pt>
              </c:strCache>
            </c:strRef>
          </c:tx>
          <c:spPr>
            <a:ln w="28575">
              <a:noFill/>
            </a:ln>
          </c:spPr>
          <c:explosion val="6"/>
          <c:dPt>
            <c:idx val="0"/>
            <c:bubble3D val="0"/>
            <c:spPr>
              <a:gradFill flip="none" rotWithShape="1">
                <a:gsLst>
                  <a:gs pos="0">
                    <a:schemeClr val="accent4">
                      <a:lumMod val="0"/>
                      <a:lumOff val="100000"/>
                    </a:schemeClr>
                  </a:gs>
                  <a:gs pos="35000">
                    <a:schemeClr val="accent4">
                      <a:lumMod val="0"/>
                      <a:lumOff val="100000"/>
                    </a:schemeClr>
                  </a:gs>
                  <a:gs pos="100000">
                    <a:schemeClr val="accent4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  <a:tileRect/>
              </a:gradFill>
              <a:ln w="285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60-4E5F-B7B1-7357E9F46B5C}"/>
              </c:ext>
            </c:extLst>
          </c:dPt>
          <c:dPt>
            <c:idx val="1"/>
            <c:bubble3D val="0"/>
            <c:explosion val="0"/>
            <c:spPr>
              <a:gradFill flip="none" rotWithShape="1">
                <a:gsLst>
                  <a:gs pos="0">
                    <a:schemeClr val="accent3">
                      <a:lumMod val="0"/>
                      <a:lumOff val="100000"/>
                    </a:schemeClr>
                  </a:gs>
                  <a:gs pos="35000">
                    <a:schemeClr val="accent3">
                      <a:lumMod val="0"/>
                      <a:lumOff val="100000"/>
                    </a:schemeClr>
                  </a:gs>
                  <a:gs pos="100000">
                    <a:schemeClr val="accent3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  <a:tileRect/>
              </a:gradFill>
              <a:ln w="285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60-4E5F-B7B1-7357E9F46B5C}"/>
              </c:ext>
            </c:extLst>
          </c:dPt>
          <c:val>
            <c:numRef>
              <c:f>(Analysis_01!$AR$20,Analysis_01!$AS$20)</c:f>
              <c:numCache>
                <c:formatCode>0%</c:formatCode>
                <c:ptCount val="2"/>
                <c:pt idx="0">
                  <c:v>0.42857142857142855</c:v>
                </c:pt>
                <c:pt idx="1">
                  <c:v>0.5714285714285714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60-4E5F-B7B1-7357E9F46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93109938849259"/>
          <c:y val="9.3395582189394463E-2"/>
          <c:w val="0.7455632145634904"/>
          <c:h val="0.82894805912418845"/>
        </c:manualLayout>
      </c:layout>
      <c:doughnutChart>
        <c:varyColors val="1"/>
        <c:ser>
          <c:idx val="0"/>
          <c:order val="0"/>
          <c:tx>
            <c:strRef>
              <c:f>Analysis_01!$AP$21</c:f>
              <c:strCache>
                <c:ptCount val="1"/>
                <c:pt idx="0">
                  <c:v>Under-Utilized</c:v>
                </c:pt>
              </c:strCache>
            </c:strRef>
          </c:tx>
          <c:spPr>
            <a:noFill/>
            <a:ln>
              <a:noFill/>
            </a:ln>
          </c:spPr>
          <c:explosion val="2"/>
          <c:dPt>
            <c:idx val="0"/>
            <c:bubble3D val="0"/>
            <c:spPr>
              <a:gradFill flip="none" rotWithShape="1">
                <a:gsLst>
                  <a:gs pos="0">
                    <a:schemeClr val="accent4">
                      <a:lumMod val="0"/>
                      <a:lumOff val="100000"/>
                    </a:schemeClr>
                  </a:gs>
                  <a:gs pos="35000">
                    <a:schemeClr val="accent4">
                      <a:lumMod val="0"/>
                      <a:lumOff val="100000"/>
                    </a:schemeClr>
                  </a:gs>
                  <a:gs pos="100000">
                    <a:schemeClr val="accent4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60-4E5F-B7B1-7357E9F46B5C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chemeClr val="accent3">
                      <a:lumMod val="0"/>
                      <a:lumOff val="100000"/>
                    </a:schemeClr>
                  </a:gs>
                  <a:gs pos="35000">
                    <a:schemeClr val="accent3">
                      <a:lumMod val="0"/>
                      <a:lumOff val="100000"/>
                    </a:schemeClr>
                  </a:gs>
                  <a:gs pos="100000">
                    <a:schemeClr val="accent3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60-4E5F-B7B1-7357E9F46B5C}"/>
              </c:ext>
            </c:extLst>
          </c:dPt>
          <c:val>
            <c:numRef>
              <c:f>Analysis_01!$AR$21:$AS$21</c:f>
              <c:numCache>
                <c:formatCode>0%</c:formatCode>
                <c:ptCount val="2"/>
                <c:pt idx="0">
                  <c:v>0.22619047619047619</c:v>
                </c:pt>
                <c:pt idx="1">
                  <c:v>0.77380952380952384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60-4E5F-B7B1-7357E9F46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3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62591559646585"/>
          <c:y val="8.3833492776019813E-2"/>
          <c:w val="0.7455632145634904"/>
          <c:h val="0.82894805912418845"/>
        </c:manualLayout>
      </c:layout>
      <c:doughnutChart>
        <c:varyColors val="1"/>
        <c:ser>
          <c:idx val="0"/>
          <c:order val="0"/>
          <c:tx>
            <c:strRef>
              <c:f>Analysis_01!$AP$22</c:f>
              <c:strCache>
                <c:ptCount val="1"/>
                <c:pt idx="0">
                  <c:v>Well-Utilized</c:v>
                </c:pt>
              </c:strCache>
            </c:strRef>
          </c:tx>
          <c:spPr>
            <a:ln>
              <a:noFill/>
            </a:ln>
          </c:spPr>
          <c:explosion val="4"/>
          <c:dPt>
            <c:idx val="0"/>
            <c:bubble3D val="0"/>
            <c:spPr>
              <a:gradFill flip="none" rotWithShape="1">
                <a:gsLst>
                  <a:gs pos="0">
                    <a:schemeClr val="accent4">
                      <a:lumMod val="0"/>
                      <a:lumOff val="100000"/>
                    </a:schemeClr>
                  </a:gs>
                  <a:gs pos="35000">
                    <a:schemeClr val="accent4">
                      <a:lumMod val="0"/>
                      <a:lumOff val="100000"/>
                    </a:schemeClr>
                  </a:gs>
                  <a:gs pos="100000">
                    <a:schemeClr val="accent4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60-4E5F-B7B1-7357E9F46B5C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chemeClr val="accent3">
                      <a:lumMod val="67000"/>
                    </a:schemeClr>
                  </a:gs>
                  <a:gs pos="48000">
                    <a:schemeClr val="accent3">
                      <a:lumMod val="97000"/>
                      <a:lumOff val="3000"/>
                    </a:schemeClr>
                  </a:gs>
                  <a:gs pos="100000">
                    <a:schemeClr val="accent3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60-4E5F-B7B1-7357E9F46B5C}"/>
              </c:ext>
            </c:extLst>
          </c:dPt>
          <c:val>
            <c:numRef>
              <c:f>Analysis_01!$AR$22:$AS$22</c:f>
              <c:numCache>
                <c:formatCode>0%</c:formatCode>
                <c:ptCount val="2"/>
                <c:pt idx="0">
                  <c:v>0.34523809523809523</c:v>
                </c:pt>
                <c:pt idx="1">
                  <c:v>0.65476190476190477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60-4E5F-B7B1-7357E9F46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27</xdr:col>
      <xdr:colOff>1133475</xdr:colOff>
      <xdr:row>20</xdr:row>
      <xdr:rowOff>61912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D281351-EF52-4A28-98A3-B077ECD2282B}"/>
            </a:ext>
          </a:extLst>
        </xdr:cNvPr>
        <xdr:cNvSpPr txBox="1"/>
      </xdr:nvSpPr>
      <xdr:spPr>
        <a:xfrm>
          <a:off x="25793700" y="38719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85725</xdr:rowOff>
    </xdr:from>
    <xdr:to>
      <xdr:col>9</xdr:col>
      <xdr:colOff>409574</xdr:colOff>
      <xdr:row>37</xdr:row>
      <xdr:rowOff>171450</xdr:rowOff>
    </xdr:to>
    <xdr:sp macro="" textlink="">
      <xdr:nvSpPr>
        <xdr:cNvPr id="24" name="Arrow: Pentagon 23">
          <a:extLst>
            <a:ext uri="{FF2B5EF4-FFF2-40B4-BE49-F238E27FC236}">
              <a16:creationId xmlns:a16="http://schemas.microsoft.com/office/drawing/2014/main" id="{2E009D7F-B04B-4962-91D7-4442CE38D3FC}"/>
            </a:ext>
          </a:extLst>
        </xdr:cNvPr>
        <xdr:cNvSpPr/>
      </xdr:nvSpPr>
      <xdr:spPr>
        <a:xfrm>
          <a:off x="0" y="85725"/>
          <a:ext cx="5895974" cy="7134225"/>
        </a:xfrm>
        <a:prstGeom prst="homePlate">
          <a:avLst>
            <a:gd name="adj" fmla="val 45634"/>
          </a:avLst>
        </a:prstGeom>
        <a:gradFill flip="none" rotWithShape="1">
          <a:gsLst>
            <a:gs pos="39000">
              <a:schemeClr val="tx1">
                <a:lumMod val="85000"/>
                <a:lumOff val="15000"/>
              </a:schemeClr>
            </a:gs>
            <a:gs pos="16000">
              <a:schemeClr val="tx1">
                <a:lumMod val="75000"/>
                <a:lumOff val="25000"/>
              </a:schemeClr>
            </a:gs>
            <a:gs pos="0">
              <a:schemeClr val="tx1">
                <a:lumMod val="95000"/>
                <a:lumOff val="5000"/>
              </a:schemeClr>
            </a:gs>
            <a:gs pos="89000">
              <a:schemeClr val="tx1">
                <a:lumMod val="95000"/>
                <a:lumOff val="5000"/>
              </a:schemeClr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276225</xdr:colOff>
      <xdr:row>0</xdr:row>
      <xdr:rowOff>0</xdr:rowOff>
    </xdr:from>
    <xdr:to>
      <xdr:col>8</xdr:col>
      <xdr:colOff>561975</xdr:colOff>
      <xdr:row>37</xdr:row>
      <xdr:rowOff>85725</xdr:rowOff>
    </xdr:to>
    <xdr:sp macro="" textlink="">
      <xdr:nvSpPr>
        <xdr:cNvPr id="17" name="Arrow: Pentagon 16">
          <a:extLst>
            <a:ext uri="{FF2B5EF4-FFF2-40B4-BE49-F238E27FC236}">
              <a16:creationId xmlns:a16="http://schemas.microsoft.com/office/drawing/2014/main" id="{4EE304BA-5B60-48D6-8F03-FB4DE0D53E63}"/>
            </a:ext>
          </a:extLst>
        </xdr:cNvPr>
        <xdr:cNvSpPr/>
      </xdr:nvSpPr>
      <xdr:spPr>
        <a:xfrm>
          <a:off x="885825" y="0"/>
          <a:ext cx="4552950" cy="7134225"/>
        </a:xfrm>
        <a:prstGeom prst="homePlate">
          <a:avLst/>
        </a:prstGeom>
        <a:gradFill flip="none" rotWithShape="1">
          <a:gsLst>
            <a:gs pos="47000">
              <a:schemeClr val="tx1">
                <a:lumMod val="75000"/>
                <a:lumOff val="25000"/>
              </a:schemeClr>
            </a:gs>
            <a:gs pos="26000">
              <a:schemeClr val="tx1">
                <a:lumMod val="75000"/>
                <a:lumOff val="25000"/>
              </a:schemeClr>
            </a:gs>
            <a:gs pos="0">
              <a:schemeClr val="tx1">
                <a:lumMod val="95000"/>
                <a:lumOff val="5000"/>
              </a:schemeClr>
            </a:gs>
            <a:gs pos="84000">
              <a:schemeClr val="tx1">
                <a:lumMod val="95000"/>
                <a:lumOff val="5000"/>
              </a:schemeClr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304800</xdr:colOff>
      <xdr:row>0</xdr:row>
      <xdr:rowOff>9525</xdr:rowOff>
    </xdr:from>
    <xdr:to>
      <xdr:col>7</xdr:col>
      <xdr:colOff>590550</xdr:colOff>
      <xdr:row>37</xdr:row>
      <xdr:rowOff>95250</xdr:rowOff>
    </xdr:to>
    <xdr:sp macro="" textlink="">
      <xdr:nvSpPr>
        <xdr:cNvPr id="16" name="Arrow: Pentagon 15">
          <a:extLst>
            <a:ext uri="{FF2B5EF4-FFF2-40B4-BE49-F238E27FC236}">
              <a16:creationId xmlns:a16="http://schemas.microsoft.com/office/drawing/2014/main" id="{9BD902AD-61C8-4EAE-8643-14860B4EA017}"/>
            </a:ext>
          </a:extLst>
        </xdr:cNvPr>
        <xdr:cNvSpPr/>
      </xdr:nvSpPr>
      <xdr:spPr>
        <a:xfrm>
          <a:off x="304800" y="9525"/>
          <a:ext cx="4552950" cy="7134225"/>
        </a:xfrm>
        <a:prstGeom prst="homePlate">
          <a:avLst/>
        </a:prstGeom>
        <a:gradFill flip="none" rotWithShape="1">
          <a:gsLst>
            <a:gs pos="47000">
              <a:schemeClr val="tx1">
                <a:lumMod val="75000"/>
                <a:lumOff val="25000"/>
              </a:schemeClr>
            </a:gs>
            <a:gs pos="26000">
              <a:schemeClr val="tx1">
                <a:lumMod val="75000"/>
                <a:lumOff val="25000"/>
              </a:schemeClr>
            </a:gs>
            <a:gs pos="0">
              <a:schemeClr val="tx1">
                <a:lumMod val="95000"/>
                <a:lumOff val="5000"/>
              </a:schemeClr>
            </a:gs>
            <a:gs pos="84000">
              <a:schemeClr val="tx1">
                <a:lumMod val="95000"/>
                <a:lumOff val="5000"/>
              </a:schemeClr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19050</xdr:rowOff>
    </xdr:from>
    <xdr:to>
      <xdr:col>7</xdr:col>
      <xdr:colOff>590550</xdr:colOff>
      <xdr:row>37</xdr:row>
      <xdr:rowOff>104775</xdr:rowOff>
    </xdr:to>
    <xdr:sp macro="" textlink="">
      <xdr:nvSpPr>
        <xdr:cNvPr id="14" name="Arrow: Pentagon 13">
          <a:extLst>
            <a:ext uri="{FF2B5EF4-FFF2-40B4-BE49-F238E27FC236}">
              <a16:creationId xmlns:a16="http://schemas.microsoft.com/office/drawing/2014/main" id="{04531EE7-F546-4FC7-A4C4-0DEFF4CCEADF}"/>
            </a:ext>
          </a:extLst>
        </xdr:cNvPr>
        <xdr:cNvSpPr/>
      </xdr:nvSpPr>
      <xdr:spPr>
        <a:xfrm>
          <a:off x="0" y="19050"/>
          <a:ext cx="4857750" cy="7134225"/>
        </a:xfrm>
        <a:prstGeom prst="homePlate">
          <a:avLst/>
        </a:prstGeom>
        <a:gradFill flip="none" rotWithShape="1">
          <a:gsLst>
            <a:gs pos="55000">
              <a:schemeClr val="tx1">
                <a:lumMod val="75000"/>
                <a:lumOff val="25000"/>
              </a:schemeClr>
            </a:gs>
            <a:gs pos="26000">
              <a:schemeClr val="tx1">
                <a:lumMod val="75000"/>
                <a:lumOff val="25000"/>
              </a:schemeClr>
            </a:gs>
            <a:gs pos="0">
              <a:schemeClr val="tx1">
                <a:lumMod val="95000"/>
                <a:lumOff val="5000"/>
              </a:schemeClr>
            </a:gs>
            <a:gs pos="93000">
              <a:schemeClr val="tx1">
                <a:lumMod val="95000"/>
                <a:lumOff val="5000"/>
              </a:schemeClr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57150</xdr:colOff>
      <xdr:row>0</xdr:row>
      <xdr:rowOff>47625</xdr:rowOff>
    </xdr:from>
    <xdr:to>
      <xdr:col>0</xdr:col>
      <xdr:colOff>102869</xdr:colOff>
      <xdr:row>0</xdr:row>
      <xdr:rowOff>123825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B2A01DC-C47A-4C1D-8FDD-5911363AF445}"/>
            </a:ext>
          </a:extLst>
        </xdr:cNvPr>
        <xdr:cNvSpPr/>
      </xdr:nvSpPr>
      <xdr:spPr>
        <a:xfrm>
          <a:off x="57150" y="47625"/>
          <a:ext cx="45719" cy="76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9525</xdr:colOff>
      <xdr:row>0</xdr:row>
      <xdr:rowOff>0</xdr:rowOff>
    </xdr:from>
    <xdr:to>
      <xdr:col>31</xdr:col>
      <xdr:colOff>600075</xdr:colOff>
      <xdr:row>59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13EFB0F-F11F-4522-A244-D1AF2FD8A849}"/>
            </a:ext>
          </a:extLst>
        </xdr:cNvPr>
        <xdr:cNvSpPr/>
      </xdr:nvSpPr>
      <xdr:spPr>
        <a:xfrm>
          <a:off x="9525" y="0"/>
          <a:ext cx="19488150" cy="113919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238125</xdr:colOff>
      <xdr:row>0</xdr:row>
      <xdr:rowOff>76201</xdr:rowOff>
    </xdr:from>
    <xdr:to>
      <xdr:col>6</xdr:col>
      <xdr:colOff>371475</xdr:colOff>
      <xdr:row>32</xdr:row>
      <xdr:rowOff>47625</xdr:rowOff>
    </xdr:to>
    <xdr:grpSp>
      <xdr:nvGrpSpPr>
        <xdr:cNvPr id="70" name="Group 69">
          <a:extLst>
            <a:ext uri="{FF2B5EF4-FFF2-40B4-BE49-F238E27FC236}">
              <a16:creationId xmlns:a16="http://schemas.microsoft.com/office/drawing/2014/main" id="{9AED60EB-2AA7-4938-90C2-75718DDB5F46}"/>
            </a:ext>
          </a:extLst>
        </xdr:cNvPr>
        <xdr:cNvGrpSpPr/>
      </xdr:nvGrpSpPr>
      <xdr:grpSpPr>
        <a:xfrm>
          <a:off x="238125" y="76201"/>
          <a:ext cx="3790950" cy="6067424"/>
          <a:chOff x="0" y="0"/>
          <a:chExt cx="7515551" cy="7210425"/>
        </a:xfrm>
      </xdr:grpSpPr>
      <xdr:sp macro="" textlink="">
        <xdr:nvSpPr>
          <xdr:cNvPr id="15" name="Arrow: Pentagon 14">
            <a:extLst>
              <a:ext uri="{FF2B5EF4-FFF2-40B4-BE49-F238E27FC236}">
                <a16:creationId xmlns:a16="http://schemas.microsoft.com/office/drawing/2014/main" id="{C39497F5-F22C-4B68-AA36-8CE57B1FA440}"/>
              </a:ext>
            </a:extLst>
          </xdr:cNvPr>
          <xdr:cNvSpPr/>
        </xdr:nvSpPr>
        <xdr:spPr>
          <a:xfrm>
            <a:off x="390524" y="0"/>
            <a:ext cx="7125027" cy="7134225"/>
          </a:xfrm>
          <a:prstGeom prst="homePlate">
            <a:avLst>
              <a:gd name="adj" fmla="val 36597"/>
            </a:avLst>
          </a:prstGeom>
          <a:gradFill flip="none" rotWithShape="1">
            <a:gsLst>
              <a:gs pos="98000">
                <a:schemeClr val="tx1"/>
              </a:gs>
              <a:gs pos="39000">
                <a:schemeClr val="tx1">
                  <a:lumMod val="75000"/>
                  <a:lumOff val="25000"/>
                </a:schemeClr>
              </a:gs>
              <a:gs pos="100000">
                <a:schemeClr val="tx1">
                  <a:lumMod val="75000"/>
                  <a:lumOff val="25000"/>
                </a:schemeClr>
              </a:gs>
              <a:gs pos="90000">
                <a:schemeClr val="tx1">
                  <a:lumMod val="95000"/>
                  <a:lumOff val="5000"/>
                </a:schemeClr>
              </a:gs>
            </a:gsLst>
            <a:lin ang="0" scaled="0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" name="Arrow: Pentagon 25">
            <a:extLst>
              <a:ext uri="{FF2B5EF4-FFF2-40B4-BE49-F238E27FC236}">
                <a16:creationId xmlns:a16="http://schemas.microsoft.com/office/drawing/2014/main" id="{7E4ACCFF-EFD2-4E2F-840B-37638053A09B}"/>
              </a:ext>
            </a:extLst>
          </xdr:cNvPr>
          <xdr:cNvSpPr/>
        </xdr:nvSpPr>
        <xdr:spPr>
          <a:xfrm>
            <a:off x="123825" y="28575"/>
            <a:ext cx="6353175" cy="7134225"/>
          </a:xfrm>
          <a:prstGeom prst="homePlate">
            <a:avLst>
              <a:gd name="adj" fmla="val 40127"/>
            </a:avLst>
          </a:prstGeom>
          <a:gradFill flip="none" rotWithShape="1">
            <a:gsLst>
              <a:gs pos="40000">
                <a:srgbClr val="262626"/>
              </a:gs>
              <a:gs pos="20000">
                <a:srgbClr val="0C0C0C"/>
              </a:gs>
              <a:gs pos="9000">
                <a:schemeClr val="tx1"/>
              </a:gs>
              <a:gs pos="98000">
                <a:schemeClr val="tx1">
                  <a:lumMod val="75000"/>
                  <a:lumOff val="25000"/>
                </a:schemeClr>
              </a:gs>
              <a:gs pos="100000">
                <a:schemeClr val="bg1">
                  <a:lumMod val="50000"/>
                </a:schemeClr>
              </a:gs>
              <a:gs pos="100000">
                <a:schemeClr val="tx1">
                  <a:lumMod val="95000"/>
                  <a:lumOff val="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Arrow: Pentagon 26">
            <a:extLst>
              <a:ext uri="{FF2B5EF4-FFF2-40B4-BE49-F238E27FC236}">
                <a16:creationId xmlns:a16="http://schemas.microsoft.com/office/drawing/2014/main" id="{C53A94DF-BC9A-45AE-A893-EEFCFD2D4988}"/>
              </a:ext>
            </a:extLst>
          </xdr:cNvPr>
          <xdr:cNvSpPr/>
        </xdr:nvSpPr>
        <xdr:spPr>
          <a:xfrm>
            <a:off x="57150" y="9525"/>
            <a:ext cx="5238750" cy="7134225"/>
          </a:xfrm>
          <a:prstGeom prst="homePlate">
            <a:avLst>
              <a:gd name="adj" fmla="val 47945"/>
            </a:avLst>
          </a:prstGeom>
          <a:gradFill flip="none" rotWithShape="1">
            <a:gsLst>
              <a:gs pos="92000">
                <a:schemeClr val="tx1"/>
              </a:gs>
              <a:gs pos="27000">
                <a:schemeClr val="tx1">
                  <a:lumMod val="75000"/>
                  <a:lumOff val="25000"/>
                </a:schemeClr>
              </a:gs>
              <a:gs pos="0">
                <a:schemeClr val="tx1">
                  <a:lumMod val="75000"/>
                  <a:lumOff val="25000"/>
                </a:schemeClr>
              </a:gs>
              <a:gs pos="81000">
                <a:schemeClr val="tx1">
                  <a:lumMod val="95000"/>
                  <a:lumOff val="5000"/>
                </a:schemeClr>
              </a:gs>
            </a:gsLst>
            <a:lin ang="0" scaled="0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Arrow: Pentagon 27">
            <a:extLst>
              <a:ext uri="{FF2B5EF4-FFF2-40B4-BE49-F238E27FC236}">
                <a16:creationId xmlns:a16="http://schemas.microsoft.com/office/drawing/2014/main" id="{A4F88C46-B529-4AC1-A237-F45CDBCE0E6F}"/>
              </a:ext>
            </a:extLst>
          </xdr:cNvPr>
          <xdr:cNvSpPr/>
        </xdr:nvSpPr>
        <xdr:spPr>
          <a:xfrm>
            <a:off x="0" y="76200"/>
            <a:ext cx="4067175" cy="7134225"/>
          </a:xfrm>
          <a:prstGeom prst="homePlate">
            <a:avLst>
              <a:gd name="adj" fmla="val 58575"/>
            </a:avLst>
          </a:prstGeom>
          <a:gradFill flip="none" rotWithShape="1">
            <a:gsLst>
              <a:gs pos="92000">
                <a:schemeClr val="tx1"/>
              </a:gs>
              <a:gs pos="29000">
                <a:schemeClr val="tx1">
                  <a:lumMod val="75000"/>
                  <a:lumOff val="25000"/>
                </a:schemeClr>
              </a:gs>
              <a:gs pos="1000">
                <a:schemeClr val="tx1">
                  <a:lumMod val="75000"/>
                  <a:lumOff val="25000"/>
                </a:schemeClr>
              </a:gs>
              <a:gs pos="78000">
                <a:schemeClr val="tx1">
                  <a:lumMod val="95000"/>
                  <a:lumOff val="5000"/>
                </a:schemeClr>
              </a:gs>
            </a:gsLst>
            <a:lin ang="0" scaled="0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333374</xdr:colOff>
      <xdr:row>7</xdr:row>
      <xdr:rowOff>104777</xdr:rowOff>
    </xdr:from>
    <xdr:to>
      <xdr:col>5</xdr:col>
      <xdr:colOff>1</xdr:colOff>
      <xdr:row>10</xdr:row>
      <xdr:rowOff>123827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83268FC0-1B0E-4E32-9DEA-94609A700794}"/>
            </a:ext>
          </a:extLst>
        </xdr:cNvPr>
        <xdr:cNvSpPr/>
      </xdr:nvSpPr>
      <xdr:spPr>
        <a:xfrm rot="5400000">
          <a:off x="1395413" y="376238"/>
          <a:ext cx="590550" cy="2714627"/>
        </a:xfrm>
        <a:prstGeom prst="roundRect">
          <a:avLst/>
        </a:prstGeom>
        <a:gradFill flip="none" rotWithShape="1">
          <a:gsLst>
            <a:gs pos="100000">
              <a:schemeClr val="tx1"/>
            </a:gs>
            <a:gs pos="7000">
              <a:schemeClr val="tx1"/>
            </a:gs>
            <a:gs pos="38000">
              <a:schemeClr val="tx1">
                <a:lumMod val="75000"/>
                <a:lumOff val="25000"/>
              </a:schemeClr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523876</xdr:colOff>
      <xdr:row>5</xdr:row>
      <xdr:rowOff>142874</xdr:rowOff>
    </xdr:from>
    <xdr:to>
      <xdr:col>19</xdr:col>
      <xdr:colOff>495300</xdr:colOff>
      <xdr:row>9</xdr:row>
      <xdr:rowOff>104775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FACA5BDE-6100-4DA0-914D-B33D433DEDA4}"/>
            </a:ext>
          </a:extLst>
        </xdr:cNvPr>
        <xdr:cNvGrpSpPr/>
      </xdr:nvGrpSpPr>
      <xdr:grpSpPr>
        <a:xfrm>
          <a:off x="3571876" y="1095374"/>
          <a:ext cx="8505824" cy="723901"/>
          <a:chOff x="3647711" y="124537"/>
          <a:chExt cx="8410936" cy="971394"/>
        </a:xfrm>
      </xdr:grpSpPr>
      <xdr:grpSp>
        <xdr:nvGrpSpPr>
          <xdr:cNvPr id="69" name="Group 68">
            <a:extLst>
              <a:ext uri="{FF2B5EF4-FFF2-40B4-BE49-F238E27FC236}">
                <a16:creationId xmlns:a16="http://schemas.microsoft.com/office/drawing/2014/main" id="{9608F96A-1161-49B2-8BA5-9EF850C3DB45}"/>
              </a:ext>
            </a:extLst>
          </xdr:cNvPr>
          <xdr:cNvGrpSpPr/>
        </xdr:nvGrpSpPr>
        <xdr:grpSpPr>
          <a:xfrm>
            <a:off x="3647711" y="124537"/>
            <a:ext cx="8410936" cy="971394"/>
            <a:chOff x="6409961" y="-35266"/>
            <a:chExt cx="8410936" cy="846645"/>
          </a:xfrm>
        </xdr:grpSpPr>
        <xdr:sp macro="" textlink="">
          <xdr:nvSpPr>
            <xdr:cNvPr id="22" name="Rectangle: Rounded Corners 21">
              <a:extLst>
                <a:ext uri="{FF2B5EF4-FFF2-40B4-BE49-F238E27FC236}">
                  <a16:creationId xmlns:a16="http://schemas.microsoft.com/office/drawing/2014/main" id="{178E87DD-8E5B-4626-A88D-348DDFE2312C}"/>
                </a:ext>
              </a:extLst>
            </xdr:cNvPr>
            <xdr:cNvSpPr/>
          </xdr:nvSpPr>
          <xdr:spPr>
            <a:xfrm rot="16200000">
              <a:off x="10218781" y="-3844086"/>
              <a:ext cx="793296" cy="8410936"/>
            </a:xfrm>
            <a:prstGeom prst="roundRect">
              <a:avLst/>
            </a:prstGeom>
            <a:gradFill flip="none" rotWithShape="1">
              <a:gsLst>
                <a:gs pos="100000">
                  <a:schemeClr val="tx1"/>
                </a:gs>
                <a:gs pos="7000">
                  <a:schemeClr val="tx1"/>
                </a:gs>
                <a:gs pos="38000">
                  <a:schemeClr val="tx1">
                    <a:lumMod val="75000"/>
                    <a:lumOff val="25000"/>
                  </a:schemeClr>
                </a:gs>
              </a:gsLst>
              <a:lin ang="0" scaled="0"/>
              <a:tileRect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5DDAA93E-6CEF-463B-A04F-B545C2E5E126}"/>
                </a:ext>
              </a:extLst>
            </xdr:cNvPr>
            <xdr:cNvSpPr txBox="1"/>
          </xdr:nvSpPr>
          <xdr:spPr>
            <a:xfrm>
              <a:off x="6495434" y="-8971"/>
              <a:ext cx="1386401" cy="3277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r>
                <a:rPr lang="en-US" sz="1200" b="1">
                  <a:solidFill>
                    <a:schemeClr val="bg1">
                      <a:lumMod val="85000"/>
                    </a:schemeClr>
                  </a:solidFill>
                </a:rPr>
                <a:t>Total Passangers</a:t>
              </a:r>
            </a:p>
          </xdr:txBody>
        </xdr: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7806EB66-9875-4CA5-848B-7A0448FCA630}"/>
                </a:ext>
              </a:extLst>
            </xdr:cNvPr>
            <xdr:cNvSpPr txBox="1"/>
          </xdr:nvSpPr>
          <xdr:spPr>
            <a:xfrm>
              <a:off x="8820034" y="-27031"/>
              <a:ext cx="1478595" cy="3277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r>
                <a:rPr lang="en-US" sz="1200" b="1">
                  <a:solidFill>
                    <a:schemeClr val="bg1">
                      <a:lumMod val="85000"/>
                    </a:schemeClr>
                  </a:solidFill>
                </a:rPr>
                <a:t>Avg</a:t>
              </a:r>
              <a:r>
                <a:rPr lang="en-US" sz="1200" b="1" baseline="0">
                  <a:solidFill>
                    <a:schemeClr val="bg1">
                      <a:lumMod val="85000"/>
                    </a:schemeClr>
                  </a:solidFill>
                </a:rPr>
                <a:t> Rider Per Trip</a:t>
              </a:r>
              <a:endParaRPr lang="en-US" sz="1200" b="1">
                <a:solidFill>
                  <a:schemeClr val="bg1">
                    <a:lumMod val="85000"/>
                  </a:schemeClr>
                </a:solidFill>
              </a:endParaRPr>
            </a:p>
          </xdr:txBody>
        </xdr:sp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180459DA-B3FF-4464-AB24-46C0D810278D}"/>
                </a:ext>
              </a:extLst>
            </xdr:cNvPr>
            <xdr:cNvSpPr txBox="1"/>
          </xdr:nvSpPr>
          <xdr:spPr>
            <a:xfrm>
              <a:off x="11210987" y="-27031"/>
              <a:ext cx="1172897" cy="3277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r>
                <a:rPr lang="en-US" sz="1200" b="1">
                  <a:solidFill>
                    <a:schemeClr val="bg1">
                      <a:lumMod val="85000"/>
                    </a:schemeClr>
                  </a:solidFill>
                </a:rPr>
                <a:t>Busiest</a:t>
              </a:r>
              <a:r>
                <a:rPr lang="en-US" sz="1200" b="1" baseline="0">
                  <a:solidFill>
                    <a:schemeClr val="bg1">
                      <a:lumMod val="85000"/>
                    </a:schemeClr>
                  </a:solidFill>
                </a:rPr>
                <a:t> Route</a:t>
              </a:r>
              <a:endParaRPr lang="en-US" sz="1200" b="1">
                <a:solidFill>
                  <a:schemeClr val="bg1">
                    <a:lumMod val="85000"/>
                  </a:schemeClr>
                </a:solidFill>
              </a:endParaRPr>
            </a:p>
          </xdr:txBody>
        </xdr:sp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047C3EBD-397B-4A7C-A0DC-2723DC6DF02E}"/>
                </a:ext>
              </a:extLst>
            </xdr:cNvPr>
            <xdr:cNvSpPr txBox="1"/>
          </xdr:nvSpPr>
          <xdr:spPr>
            <a:xfrm>
              <a:off x="13115977" y="-27031"/>
              <a:ext cx="1411595" cy="3277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r>
                <a:rPr lang="en-US" sz="1200" b="1">
                  <a:solidFill>
                    <a:schemeClr val="bg1">
                      <a:lumMod val="85000"/>
                    </a:schemeClr>
                  </a:solidFill>
                </a:rPr>
                <a:t>Least Busy</a:t>
              </a:r>
              <a:r>
                <a:rPr lang="en-US" sz="1200" b="1" baseline="0">
                  <a:solidFill>
                    <a:schemeClr val="bg1">
                      <a:lumMod val="85000"/>
                    </a:schemeClr>
                  </a:solidFill>
                </a:rPr>
                <a:t> Route</a:t>
              </a:r>
              <a:endParaRPr lang="en-US" sz="1200" b="1">
                <a:solidFill>
                  <a:schemeClr val="bg1">
                    <a:lumMod val="85000"/>
                  </a:schemeClr>
                </a:solidFill>
              </a:endParaRPr>
            </a:p>
          </xdr:txBody>
        </xdr:sp>
        <xdr:sp macro="" textlink="Analysis_01!M18">
          <xdr:nvSpPr>
            <xdr:cNvPr id="41" name="TextBox 40">
              <a:extLst>
                <a:ext uri="{FF2B5EF4-FFF2-40B4-BE49-F238E27FC236}">
                  <a16:creationId xmlns:a16="http://schemas.microsoft.com/office/drawing/2014/main" id="{9B4E9A19-C2CE-40AA-A8EF-7A7C23584582}"/>
                </a:ext>
              </a:extLst>
            </xdr:cNvPr>
            <xdr:cNvSpPr txBox="1"/>
          </xdr:nvSpPr>
          <xdr:spPr>
            <a:xfrm>
              <a:off x="6667117" y="467717"/>
              <a:ext cx="651392" cy="3338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fld id="{48E3784A-6034-4D98-B6CA-52A9F104B5C0}" type="TxLink">
                <a:rPr lang="en-US" sz="1600" b="1" i="0" u="none" strike="noStrike">
                  <a:solidFill>
                    <a:schemeClr val="bg1">
                      <a:lumMod val="85000"/>
                    </a:schemeClr>
                  </a:solidFill>
                  <a:latin typeface="Calibri"/>
                  <a:cs typeface="Calibri"/>
                </a:rPr>
                <a:pPr/>
                <a:t>6,587</a:t>
              </a:fld>
              <a:endParaRPr lang="en-US" sz="2000" b="1">
                <a:solidFill>
                  <a:schemeClr val="bg1">
                    <a:lumMod val="85000"/>
                  </a:schemeClr>
                </a:solidFill>
              </a:endParaRPr>
            </a:p>
          </xdr:txBody>
        </xdr:sp>
        <xdr:sp macro="" textlink="Analysis_01!N18">
          <xdr:nvSpPr>
            <xdr:cNvPr id="42" name="TextBox 41">
              <a:extLst>
                <a:ext uri="{FF2B5EF4-FFF2-40B4-BE49-F238E27FC236}">
                  <a16:creationId xmlns:a16="http://schemas.microsoft.com/office/drawing/2014/main" id="{29167FD8-F55A-41D3-879A-8D38D32BC67F}"/>
                </a:ext>
              </a:extLst>
            </xdr:cNvPr>
            <xdr:cNvSpPr txBox="1"/>
          </xdr:nvSpPr>
          <xdr:spPr>
            <a:xfrm>
              <a:off x="9192028" y="477489"/>
              <a:ext cx="391359" cy="333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fld id="{50665256-E7B1-4C60-A801-4E38229798F6}" type="TxLink">
                <a:rPr lang="en-US" sz="1600" b="0" i="0" u="none" strike="noStrike">
                  <a:solidFill>
                    <a:schemeClr val="bg1">
                      <a:lumMod val="85000"/>
                    </a:schemeClr>
                  </a:solidFill>
                  <a:latin typeface="Calibri"/>
                  <a:cs typeface="Calibri"/>
                </a:rPr>
                <a:pPr/>
                <a:t>33</a:t>
              </a:fld>
              <a:endParaRPr lang="en-US" sz="2000" b="1">
                <a:solidFill>
                  <a:schemeClr val="bg1">
                    <a:lumMod val="85000"/>
                  </a:schemeClr>
                </a:solidFill>
              </a:endParaRPr>
            </a:p>
          </xdr:txBody>
        </xdr:sp>
        <xdr:sp macro="" textlink="Analysis_01!M23">
          <xdr:nvSpPr>
            <xdr:cNvPr id="43" name="TextBox 42">
              <a:extLst>
                <a:ext uri="{FF2B5EF4-FFF2-40B4-BE49-F238E27FC236}">
                  <a16:creationId xmlns:a16="http://schemas.microsoft.com/office/drawing/2014/main" id="{A9504110-5CD1-4CC1-AC94-40CD97445C85}"/>
                </a:ext>
              </a:extLst>
            </xdr:cNvPr>
            <xdr:cNvSpPr txBox="1"/>
          </xdr:nvSpPr>
          <xdr:spPr>
            <a:xfrm>
              <a:off x="10925757" y="439389"/>
              <a:ext cx="1729162" cy="3338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fld id="{E9D7CD7F-019D-4524-8F53-1B7D1BAFCE9A}" type="TxLink">
                <a:rPr lang="en-US" sz="1600" b="1" i="0" u="none" strike="noStrike">
                  <a:solidFill>
                    <a:schemeClr val="bg1">
                      <a:lumMod val="85000"/>
                    </a:schemeClr>
                  </a:solidFill>
                  <a:latin typeface="Calibri"/>
                  <a:cs typeface="Calibri"/>
                </a:rPr>
                <a:pPr/>
                <a:t>East-West Express</a:t>
              </a:fld>
              <a:endParaRPr lang="en-US" sz="2000" b="1">
                <a:solidFill>
                  <a:schemeClr val="bg1">
                    <a:lumMod val="85000"/>
                  </a:schemeClr>
                </a:solidFill>
              </a:endParaRPr>
            </a:p>
          </xdr:txBody>
        </xdr:sp>
        <xdr:sp macro="" textlink="Analysis_01!M28">
          <xdr:nvSpPr>
            <xdr:cNvPr id="44" name="TextBox 43">
              <a:extLst>
                <a:ext uri="{FF2B5EF4-FFF2-40B4-BE49-F238E27FC236}">
                  <a16:creationId xmlns:a16="http://schemas.microsoft.com/office/drawing/2014/main" id="{C5E59E85-6C91-483F-B88E-09D1BEEDAC43}"/>
                </a:ext>
              </a:extLst>
            </xdr:cNvPr>
            <xdr:cNvSpPr txBox="1"/>
          </xdr:nvSpPr>
          <xdr:spPr>
            <a:xfrm>
              <a:off x="13344525" y="458439"/>
              <a:ext cx="1057449" cy="3338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fld id="{BFC7A4FC-002E-402D-8BE5-4B65B83A044C}" type="TxLink">
                <a:rPr lang="en-US" sz="1600" b="0" i="0" u="none" strike="noStrike">
                  <a:solidFill>
                    <a:schemeClr val="bg1">
                      <a:lumMod val="85000"/>
                    </a:schemeClr>
                  </a:solidFill>
                  <a:latin typeface="Calibri"/>
                  <a:cs typeface="Calibri"/>
                </a:rPr>
                <a:pPr/>
                <a:t>South Line</a:t>
              </a:fld>
              <a:endParaRPr lang="en-US" sz="2000" b="1">
                <a:solidFill>
                  <a:schemeClr val="bg1">
                    <a:lumMod val="85000"/>
                  </a:schemeClr>
                </a:solidFill>
              </a:endParaRPr>
            </a:p>
          </xdr:txBody>
        </xdr:sp>
      </xdr:grpSp>
      <xdr:cxnSp macro="">
        <xdr:nvCxnSpPr>
          <xdr:cNvPr id="72" name="Straight Connector 71">
            <a:extLst>
              <a:ext uri="{FF2B5EF4-FFF2-40B4-BE49-F238E27FC236}">
                <a16:creationId xmlns:a16="http://schemas.microsoft.com/office/drawing/2014/main" id="{012AC7E8-71FE-48D7-8519-4988C1F4F493}"/>
              </a:ext>
            </a:extLst>
          </xdr:cNvPr>
          <xdr:cNvCxnSpPr/>
        </xdr:nvCxnSpPr>
        <xdr:spPr>
          <a:xfrm flipV="1">
            <a:off x="4171950" y="604838"/>
            <a:ext cx="7153275" cy="9525"/>
          </a:xfrm>
          <a:prstGeom prst="line">
            <a:avLst/>
          </a:prstGeom>
          <a:ln w="63500">
            <a:gradFill flip="none" rotWithShape="1">
              <a:gsLst>
                <a:gs pos="0">
                  <a:schemeClr val="tx1"/>
                </a:gs>
                <a:gs pos="42000">
                  <a:schemeClr val="bg1">
                    <a:lumMod val="50000"/>
                  </a:schemeClr>
                </a:gs>
                <a:gs pos="65000">
                  <a:schemeClr val="bg1">
                    <a:lumMod val="50000"/>
                  </a:schemeClr>
                </a:gs>
                <a:gs pos="100000">
                  <a:schemeClr val="tx1"/>
                </a:gs>
              </a:gsLst>
              <a:lin ang="0" scaled="0"/>
              <a:tileRect/>
            </a:gra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FA2C776B-166A-41BE-8E87-73DA5EC4DFAA}"/>
              </a:ext>
            </a:extLst>
          </xdr:cNvPr>
          <xdr:cNvSpPr/>
        </xdr:nvSpPr>
        <xdr:spPr>
          <a:xfrm>
            <a:off x="6553996" y="515470"/>
            <a:ext cx="161925" cy="161925"/>
          </a:xfrm>
          <a:prstGeom prst="ellipse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9" name="Oval 78">
            <a:extLst>
              <a:ext uri="{FF2B5EF4-FFF2-40B4-BE49-F238E27FC236}">
                <a16:creationId xmlns:a16="http://schemas.microsoft.com/office/drawing/2014/main" id="{6F3D9327-0703-45FD-B211-57876DD668E0}"/>
              </a:ext>
            </a:extLst>
          </xdr:cNvPr>
          <xdr:cNvSpPr/>
        </xdr:nvSpPr>
        <xdr:spPr>
          <a:xfrm>
            <a:off x="8944962" y="524995"/>
            <a:ext cx="161925" cy="161925"/>
          </a:xfrm>
          <a:prstGeom prst="ellipse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0" name="Oval 79">
            <a:extLst>
              <a:ext uri="{FF2B5EF4-FFF2-40B4-BE49-F238E27FC236}">
                <a16:creationId xmlns:a16="http://schemas.microsoft.com/office/drawing/2014/main" id="{19E1B086-4404-4220-9E7A-51D9A633F542}"/>
              </a:ext>
            </a:extLst>
          </xdr:cNvPr>
          <xdr:cNvSpPr/>
        </xdr:nvSpPr>
        <xdr:spPr>
          <a:xfrm>
            <a:off x="4105275" y="523875"/>
            <a:ext cx="161925" cy="161925"/>
          </a:xfrm>
          <a:prstGeom prst="ellipse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1" name="Oval 80">
            <a:extLst>
              <a:ext uri="{FF2B5EF4-FFF2-40B4-BE49-F238E27FC236}">
                <a16:creationId xmlns:a16="http://schemas.microsoft.com/office/drawing/2014/main" id="{C8B0BE85-DF1D-4F70-9CDB-86A82AE73281}"/>
              </a:ext>
            </a:extLst>
          </xdr:cNvPr>
          <xdr:cNvSpPr/>
        </xdr:nvSpPr>
        <xdr:spPr>
          <a:xfrm>
            <a:off x="11172825" y="533400"/>
            <a:ext cx="161925" cy="161925"/>
          </a:xfrm>
          <a:prstGeom prst="ellipse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20</xdr:col>
      <xdr:colOff>76200</xdr:colOff>
      <xdr:row>5</xdr:row>
      <xdr:rowOff>180975</xdr:rowOff>
    </xdr:from>
    <xdr:to>
      <xdr:col>24</xdr:col>
      <xdr:colOff>257175</xdr:colOff>
      <xdr:row>31</xdr:row>
      <xdr:rowOff>180974</xdr:rowOff>
    </xdr:to>
    <xdr:sp macro="" textlink="">
      <xdr:nvSpPr>
        <xdr:cNvPr id="87" name="Rectangle: Rounded Corners 86">
          <a:extLst>
            <a:ext uri="{FF2B5EF4-FFF2-40B4-BE49-F238E27FC236}">
              <a16:creationId xmlns:a16="http://schemas.microsoft.com/office/drawing/2014/main" id="{F9CC12EB-26DF-4E01-AE82-310E38188AEB}"/>
            </a:ext>
          </a:extLst>
        </xdr:cNvPr>
        <xdr:cNvSpPr/>
      </xdr:nvSpPr>
      <xdr:spPr>
        <a:xfrm>
          <a:off x="12268200" y="1133475"/>
          <a:ext cx="2619375" cy="4952999"/>
        </a:xfrm>
        <a:prstGeom prst="roundRect">
          <a:avLst>
            <a:gd name="adj" fmla="val 5279"/>
          </a:avLst>
        </a:prstGeom>
        <a:gradFill flip="none" rotWithShape="1">
          <a:gsLst>
            <a:gs pos="100000">
              <a:schemeClr val="tx1"/>
            </a:gs>
            <a:gs pos="7000">
              <a:schemeClr val="tx1"/>
            </a:gs>
            <a:gs pos="38000">
              <a:schemeClr val="tx1">
                <a:lumMod val="75000"/>
                <a:lumOff val="25000"/>
              </a:schemeClr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552450</xdr:colOff>
      <xdr:row>9</xdr:row>
      <xdr:rowOff>161925</xdr:rowOff>
    </xdr:from>
    <xdr:to>
      <xdr:col>19</xdr:col>
      <xdr:colOff>590550</xdr:colOff>
      <xdr:row>31</xdr:row>
      <xdr:rowOff>142874</xdr:rowOff>
    </xdr:to>
    <xdr:sp macro="" textlink="">
      <xdr:nvSpPr>
        <xdr:cNvPr id="90" name="Rectangle: Rounded Corners 89">
          <a:extLst>
            <a:ext uri="{FF2B5EF4-FFF2-40B4-BE49-F238E27FC236}">
              <a16:creationId xmlns:a16="http://schemas.microsoft.com/office/drawing/2014/main" id="{79CB7E61-F441-412B-826B-F47E006C6929}"/>
            </a:ext>
          </a:extLst>
        </xdr:cNvPr>
        <xdr:cNvSpPr/>
      </xdr:nvSpPr>
      <xdr:spPr>
        <a:xfrm>
          <a:off x="9086850" y="1876425"/>
          <a:ext cx="3086100" cy="4171949"/>
        </a:xfrm>
        <a:prstGeom prst="roundRect">
          <a:avLst>
            <a:gd name="adj" fmla="val 5383"/>
          </a:avLst>
        </a:prstGeom>
        <a:gradFill flip="none" rotWithShape="1">
          <a:gsLst>
            <a:gs pos="100000">
              <a:schemeClr val="tx1"/>
            </a:gs>
            <a:gs pos="7000">
              <a:schemeClr val="tx1"/>
            </a:gs>
            <a:gs pos="38000">
              <a:schemeClr val="tx1">
                <a:lumMod val="75000"/>
                <a:lumOff val="25000"/>
              </a:schemeClr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361950</xdr:colOff>
      <xdr:row>9</xdr:row>
      <xdr:rowOff>180975</xdr:rowOff>
    </xdr:from>
    <xdr:to>
      <xdr:col>14</xdr:col>
      <xdr:colOff>428625</xdr:colOff>
      <xdr:row>22</xdr:row>
      <xdr:rowOff>152400</xdr:rowOff>
    </xdr:to>
    <xdr:sp macro="" textlink="">
      <xdr:nvSpPr>
        <xdr:cNvPr id="91" name="Rectangle: Rounded Corners 90">
          <a:extLst>
            <a:ext uri="{FF2B5EF4-FFF2-40B4-BE49-F238E27FC236}">
              <a16:creationId xmlns:a16="http://schemas.microsoft.com/office/drawing/2014/main" id="{85B8E110-9A31-4C88-B71D-62A82080224E}"/>
            </a:ext>
          </a:extLst>
        </xdr:cNvPr>
        <xdr:cNvSpPr/>
      </xdr:nvSpPr>
      <xdr:spPr>
        <a:xfrm>
          <a:off x="4019550" y="1895475"/>
          <a:ext cx="4943475" cy="2447925"/>
        </a:xfrm>
        <a:prstGeom prst="roundRect">
          <a:avLst>
            <a:gd name="adj" fmla="val 5207"/>
          </a:avLst>
        </a:prstGeom>
        <a:gradFill flip="none" rotWithShape="1">
          <a:gsLst>
            <a:gs pos="100000">
              <a:schemeClr val="tx1"/>
            </a:gs>
            <a:gs pos="7000">
              <a:schemeClr val="tx1"/>
            </a:gs>
            <a:gs pos="38000">
              <a:schemeClr val="tx1">
                <a:lumMod val="75000"/>
                <a:lumOff val="25000"/>
              </a:schemeClr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466724</xdr:colOff>
      <xdr:row>23</xdr:row>
      <xdr:rowOff>47625</xdr:rowOff>
    </xdr:from>
    <xdr:to>
      <xdr:col>14</xdr:col>
      <xdr:colOff>438149</xdr:colOff>
      <xdr:row>32</xdr:row>
      <xdr:rowOff>9525</xdr:rowOff>
    </xdr:to>
    <xdr:sp macro="" textlink="">
      <xdr:nvSpPr>
        <xdr:cNvPr id="92" name="Rectangle: Rounded Corners 91">
          <a:extLst>
            <a:ext uri="{FF2B5EF4-FFF2-40B4-BE49-F238E27FC236}">
              <a16:creationId xmlns:a16="http://schemas.microsoft.com/office/drawing/2014/main" id="{7D583BFA-8AC3-41EB-BA62-F3AA72BB5A3E}"/>
            </a:ext>
          </a:extLst>
        </xdr:cNvPr>
        <xdr:cNvSpPr/>
      </xdr:nvSpPr>
      <xdr:spPr>
        <a:xfrm>
          <a:off x="3514724" y="4429125"/>
          <a:ext cx="5457825" cy="1676400"/>
        </a:xfrm>
        <a:prstGeom prst="roundRect">
          <a:avLst>
            <a:gd name="adj" fmla="val 5130"/>
          </a:avLst>
        </a:prstGeom>
        <a:gradFill flip="none" rotWithShape="1">
          <a:gsLst>
            <a:gs pos="100000">
              <a:schemeClr val="tx1"/>
            </a:gs>
            <a:gs pos="7000">
              <a:schemeClr val="tx1"/>
            </a:gs>
            <a:gs pos="38000">
              <a:schemeClr val="tx1">
                <a:lumMod val="75000"/>
                <a:lumOff val="25000"/>
              </a:schemeClr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209550</xdr:colOff>
      <xdr:row>11</xdr:row>
      <xdr:rowOff>57442</xdr:rowOff>
    </xdr:from>
    <xdr:to>
      <xdr:col>5</xdr:col>
      <xdr:colOff>400050</xdr:colOff>
      <xdr:row>21</xdr:row>
      <xdr:rowOff>95250</xdr:rowOff>
    </xdr:to>
    <xdr:grpSp>
      <xdr:nvGrpSpPr>
        <xdr:cNvPr id="98" name="Group 97">
          <a:extLst>
            <a:ext uri="{FF2B5EF4-FFF2-40B4-BE49-F238E27FC236}">
              <a16:creationId xmlns:a16="http://schemas.microsoft.com/office/drawing/2014/main" id="{CF1E3EE6-71F5-4F88-BA84-9217C9B9AC61}"/>
            </a:ext>
          </a:extLst>
        </xdr:cNvPr>
        <xdr:cNvGrpSpPr/>
      </xdr:nvGrpSpPr>
      <xdr:grpSpPr>
        <a:xfrm>
          <a:off x="209550" y="2152942"/>
          <a:ext cx="3238500" cy="1942808"/>
          <a:chOff x="3629024" y="202296"/>
          <a:chExt cx="4765776" cy="707680"/>
        </a:xfrm>
      </xdr:grpSpPr>
      <xdr:grpSp>
        <xdr:nvGrpSpPr>
          <xdr:cNvPr id="97" name="Group 96">
            <a:extLst>
              <a:ext uri="{FF2B5EF4-FFF2-40B4-BE49-F238E27FC236}">
                <a16:creationId xmlns:a16="http://schemas.microsoft.com/office/drawing/2014/main" id="{DECB715B-9202-4D38-9031-DA817653D535}"/>
              </a:ext>
            </a:extLst>
          </xdr:cNvPr>
          <xdr:cNvGrpSpPr/>
        </xdr:nvGrpSpPr>
        <xdr:grpSpPr>
          <a:xfrm>
            <a:off x="3629024" y="202296"/>
            <a:ext cx="4765776" cy="707680"/>
            <a:chOff x="3152769" y="148510"/>
            <a:chExt cx="11591930" cy="766654"/>
          </a:xfrm>
        </xdr:grpSpPr>
        <xdr:sp macro="" textlink="">
          <xdr:nvSpPr>
            <xdr:cNvPr id="93" name="Rectangle: Rounded Corners 92">
              <a:extLst>
                <a:ext uri="{FF2B5EF4-FFF2-40B4-BE49-F238E27FC236}">
                  <a16:creationId xmlns:a16="http://schemas.microsoft.com/office/drawing/2014/main" id="{E946F2B3-68D6-4013-95FD-1A5B47A02104}"/>
                </a:ext>
              </a:extLst>
            </xdr:cNvPr>
            <xdr:cNvSpPr/>
          </xdr:nvSpPr>
          <xdr:spPr>
            <a:xfrm>
              <a:off x="3162303" y="150659"/>
              <a:ext cx="11582396" cy="764505"/>
            </a:xfrm>
            <a:prstGeom prst="roundRect">
              <a:avLst>
                <a:gd name="adj" fmla="val 5207"/>
              </a:avLst>
            </a:prstGeom>
            <a:gradFill flip="none" rotWithShape="1">
              <a:gsLst>
                <a:gs pos="93805">
                  <a:schemeClr val="tx1"/>
                </a:gs>
                <a:gs pos="84000">
                  <a:schemeClr val="tx1">
                    <a:lumMod val="50000"/>
                    <a:lumOff val="50000"/>
                  </a:schemeClr>
                </a:gs>
                <a:gs pos="27000">
                  <a:schemeClr val="tx1">
                    <a:lumMod val="50000"/>
                    <a:lumOff val="50000"/>
                  </a:schemeClr>
                </a:gs>
                <a:gs pos="0">
                  <a:schemeClr val="tx1">
                    <a:lumMod val="85000"/>
                    <a:lumOff val="15000"/>
                  </a:schemeClr>
                </a:gs>
                <a:gs pos="86000">
                  <a:schemeClr val="tx1"/>
                </a:gs>
                <a:gs pos="77000">
                  <a:schemeClr val="tx1"/>
                </a:gs>
              </a:gsLst>
              <a:lin ang="5400000" scaled="1"/>
              <a:tileRect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000"/>
            </a:p>
          </xdr:txBody>
        </xdr:sp>
        <xdr:sp macro="" textlink="">
          <xdr:nvSpPr>
            <xdr:cNvPr id="95" name="Rectangle: Rounded Corners 94">
              <a:extLst>
                <a:ext uri="{FF2B5EF4-FFF2-40B4-BE49-F238E27FC236}">
                  <a16:creationId xmlns:a16="http://schemas.microsoft.com/office/drawing/2014/main" id="{110868E5-CC5D-456C-BEF9-3BF1FB766690}"/>
                </a:ext>
              </a:extLst>
            </xdr:cNvPr>
            <xdr:cNvSpPr/>
          </xdr:nvSpPr>
          <xdr:spPr>
            <a:xfrm rot="10800000">
              <a:off x="3152769" y="148510"/>
              <a:ext cx="11582398" cy="584913"/>
            </a:xfrm>
            <a:prstGeom prst="roundRect">
              <a:avLst>
                <a:gd name="adj" fmla="val 5207"/>
              </a:avLst>
            </a:prstGeom>
            <a:gradFill flip="none" rotWithShape="1">
              <a:gsLst>
                <a:gs pos="93805">
                  <a:schemeClr val="tx1"/>
                </a:gs>
                <a:gs pos="84000">
                  <a:schemeClr val="tx1">
                    <a:lumMod val="50000"/>
                    <a:lumOff val="50000"/>
                  </a:schemeClr>
                </a:gs>
                <a:gs pos="27000">
                  <a:schemeClr val="tx1">
                    <a:lumMod val="50000"/>
                    <a:lumOff val="50000"/>
                  </a:schemeClr>
                </a:gs>
                <a:gs pos="0">
                  <a:schemeClr val="tx1">
                    <a:lumMod val="85000"/>
                    <a:lumOff val="15000"/>
                  </a:schemeClr>
                </a:gs>
                <a:gs pos="86000">
                  <a:schemeClr val="tx1"/>
                </a:gs>
                <a:gs pos="77000">
                  <a:schemeClr val="tx1"/>
                </a:gs>
              </a:gsLst>
              <a:lin ang="5400000" scaled="1"/>
              <a:tileRect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000"/>
            </a:p>
          </xdr:txBody>
        </xdr:sp>
      </xdr:grpSp>
      <xdr:sp macro="" textlink="">
        <xdr:nvSpPr>
          <xdr:cNvPr id="96" name="TextBox 95">
            <a:extLst>
              <a:ext uri="{FF2B5EF4-FFF2-40B4-BE49-F238E27FC236}">
                <a16:creationId xmlns:a16="http://schemas.microsoft.com/office/drawing/2014/main" id="{DC0227F2-79EC-46F9-88CC-82E699AD8BB9}"/>
              </a:ext>
            </a:extLst>
          </xdr:cNvPr>
          <xdr:cNvSpPr txBox="1"/>
        </xdr:nvSpPr>
        <xdr:spPr>
          <a:xfrm>
            <a:off x="3838574" y="343227"/>
            <a:ext cx="4444089" cy="4002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2800" b="1" i="0">
                <a:solidFill>
                  <a:schemeClr val="bg1">
                    <a:lumMod val="85000"/>
                  </a:schemeClr>
                </a:solidFill>
                <a:latin typeface="Arial Rounded MT Bold" panose="020F0704030504030204" pitchFamily="34" charset="0"/>
              </a:rPr>
              <a:t>Transportation</a:t>
            </a:r>
            <a:r>
              <a:rPr lang="en-US" sz="2800" b="1" i="0" baseline="0">
                <a:solidFill>
                  <a:schemeClr val="bg1">
                    <a:lumMod val="85000"/>
                  </a:schemeClr>
                </a:solidFill>
                <a:latin typeface="Arial Rounded MT Bold" panose="020F0704030504030204" pitchFamily="34" charset="0"/>
              </a:rPr>
              <a:t>  Dashboard </a:t>
            </a:r>
            <a:endParaRPr lang="en-US" sz="2800" b="1" i="0">
              <a:solidFill>
                <a:schemeClr val="bg1">
                  <a:lumMod val="85000"/>
                </a:schemeClr>
              </a:solidFill>
              <a:latin typeface="Arial Rounded MT Bold" panose="020F0704030504030204" pitchFamily="34" charset="0"/>
            </a:endParaRPr>
          </a:p>
        </xdr:txBody>
      </xdr:sp>
    </xdr:grpSp>
    <xdr:clientData/>
  </xdr:twoCellAnchor>
  <xdr:twoCellAnchor>
    <xdr:from>
      <xdr:col>5</xdr:col>
      <xdr:colOff>257174</xdr:colOff>
      <xdr:row>0</xdr:row>
      <xdr:rowOff>123823</xdr:rowOff>
    </xdr:from>
    <xdr:to>
      <xdr:col>24</xdr:col>
      <xdr:colOff>180975</xdr:colOff>
      <xdr:row>5</xdr:row>
      <xdr:rowOff>28574</xdr:rowOff>
    </xdr:to>
    <xdr:grpSp>
      <xdr:nvGrpSpPr>
        <xdr:cNvPr id="101" name="Group 100">
          <a:extLst>
            <a:ext uri="{FF2B5EF4-FFF2-40B4-BE49-F238E27FC236}">
              <a16:creationId xmlns:a16="http://schemas.microsoft.com/office/drawing/2014/main" id="{C7E376E5-720B-4644-8236-C4C052C9CDC5}"/>
            </a:ext>
          </a:extLst>
        </xdr:cNvPr>
        <xdr:cNvGrpSpPr/>
      </xdr:nvGrpSpPr>
      <xdr:grpSpPr>
        <a:xfrm>
          <a:off x="3305174" y="123823"/>
          <a:ext cx="11506201" cy="857251"/>
          <a:chOff x="8591551" y="200024"/>
          <a:chExt cx="4834730" cy="673868"/>
        </a:xfrm>
      </xdr:grpSpPr>
      <xdr:sp macro="" textlink="">
        <xdr:nvSpPr>
          <xdr:cNvPr id="99" name="Rectangle: Rounded Corners 98">
            <a:extLst>
              <a:ext uri="{FF2B5EF4-FFF2-40B4-BE49-F238E27FC236}">
                <a16:creationId xmlns:a16="http://schemas.microsoft.com/office/drawing/2014/main" id="{F714F1AD-B625-4838-B57A-C1D059541844}"/>
              </a:ext>
            </a:extLst>
          </xdr:cNvPr>
          <xdr:cNvSpPr/>
        </xdr:nvSpPr>
        <xdr:spPr>
          <a:xfrm>
            <a:off x="8601076" y="200024"/>
            <a:ext cx="4825205" cy="673868"/>
          </a:xfrm>
          <a:prstGeom prst="roundRect">
            <a:avLst>
              <a:gd name="adj" fmla="val 5207"/>
            </a:avLst>
          </a:prstGeom>
          <a:gradFill flip="none" rotWithShape="1">
            <a:gsLst>
              <a:gs pos="93805">
                <a:schemeClr val="tx1"/>
              </a:gs>
              <a:gs pos="84000">
                <a:schemeClr val="tx1">
                  <a:lumMod val="50000"/>
                  <a:lumOff val="50000"/>
                </a:schemeClr>
              </a:gs>
              <a:gs pos="27000">
                <a:schemeClr val="tx1">
                  <a:lumMod val="50000"/>
                  <a:lumOff val="50000"/>
                </a:schemeClr>
              </a:gs>
              <a:gs pos="0">
                <a:schemeClr val="tx1">
                  <a:lumMod val="85000"/>
                  <a:lumOff val="15000"/>
                </a:schemeClr>
              </a:gs>
              <a:gs pos="86000">
                <a:schemeClr val="tx1"/>
              </a:gs>
              <a:gs pos="77000">
                <a:schemeClr val="tx1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0" name="Rectangle: Rounded Corners 99">
            <a:extLst>
              <a:ext uri="{FF2B5EF4-FFF2-40B4-BE49-F238E27FC236}">
                <a16:creationId xmlns:a16="http://schemas.microsoft.com/office/drawing/2014/main" id="{7499BF16-2B7D-4C81-9BB6-76ECCC77EE06}"/>
              </a:ext>
            </a:extLst>
          </xdr:cNvPr>
          <xdr:cNvSpPr/>
        </xdr:nvSpPr>
        <xdr:spPr>
          <a:xfrm rot="10800000">
            <a:off x="8591551" y="228599"/>
            <a:ext cx="4825205" cy="511209"/>
          </a:xfrm>
          <a:prstGeom prst="roundRect">
            <a:avLst>
              <a:gd name="adj" fmla="val 5207"/>
            </a:avLst>
          </a:prstGeom>
          <a:gradFill flip="none" rotWithShape="1">
            <a:gsLst>
              <a:gs pos="93805">
                <a:schemeClr val="tx1"/>
              </a:gs>
              <a:gs pos="84000">
                <a:schemeClr val="tx1">
                  <a:lumMod val="50000"/>
                  <a:lumOff val="50000"/>
                </a:schemeClr>
              </a:gs>
              <a:gs pos="27000">
                <a:schemeClr val="tx1">
                  <a:lumMod val="50000"/>
                  <a:lumOff val="50000"/>
                </a:schemeClr>
              </a:gs>
              <a:gs pos="0">
                <a:schemeClr val="tx1">
                  <a:lumMod val="85000"/>
                  <a:lumOff val="15000"/>
                </a:schemeClr>
              </a:gs>
              <a:gs pos="86000">
                <a:schemeClr val="tx1"/>
              </a:gs>
              <a:gs pos="77000">
                <a:schemeClr val="tx1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285749</xdr:colOff>
      <xdr:row>21</xdr:row>
      <xdr:rowOff>161928</xdr:rowOff>
    </xdr:from>
    <xdr:to>
      <xdr:col>5</xdr:col>
      <xdr:colOff>85724</xdr:colOff>
      <xdr:row>24</xdr:row>
      <xdr:rowOff>180978</xdr:rowOff>
    </xdr:to>
    <xdr:sp macro="" textlink="">
      <xdr:nvSpPr>
        <xdr:cNvPr id="102" name="Rectangle: Rounded Corners 101">
          <a:extLst>
            <a:ext uri="{FF2B5EF4-FFF2-40B4-BE49-F238E27FC236}">
              <a16:creationId xmlns:a16="http://schemas.microsoft.com/office/drawing/2014/main" id="{646786A3-53E1-4B2D-8DE1-0B41C1771D4E}"/>
            </a:ext>
          </a:extLst>
        </xdr:cNvPr>
        <xdr:cNvSpPr/>
      </xdr:nvSpPr>
      <xdr:spPr>
        <a:xfrm rot="5400000">
          <a:off x="1414462" y="3033715"/>
          <a:ext cx="590550" cy="2847975"/>
        </a:xfrm>
        <a:prstGeom prst="roundRect">
          <a:avLst/>
        </a:prstGeom>
        <a:gradFill flip="none" rotWithShape="1">
          <a:gsLst>
            <a:gs pos="100000">
              <a:schemeClr val="tx1"/>
            </a:gs>
            <a:gs pos="7000">
              <a:schemeClr val="tx1"/>
            </a:gs>
            <a:gs pos="38000">
              <a:schemeClr val="tx1">
                <a:lumMod val="75000"/>
                <a:lumOff val="25000"/>
              </a:schemeClr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495300</xdr:colOff>
      <xdr:row>10</xdr:row>
      <xdr:rowOff>66674</xdr:rowOff>
    </xdr:from>
    <xdr:to>
      <xdr:col>13</xdr:col>
      <xdr:colOff>504825</xdr:colOff>
      <xdr:row>11</xdr:row>
      <xdr:rowOff>171449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513E5EB-D50B-4A6F-ADCF-CBF7997B727E}"/>
            </a:ext>
          </a:extLst>
        </xdr:cNvPr>
        <xdr:cNvGrpSpPr/>
      </xdr:nvGrpSpPr>
      <xdr:grpSpPr>
        <a:xfrm>
          <a:off x="4152900" y="1971674"/>
          <a:ext cx="4276725" cy="295275"/>
          <a:chOff x="4200525" y="2085974"/>
          <a:chExt cx="4276725" cy="295275"/>
        </a:xfrm>
      </xdr:grpSpPr>
      <xdr:sp macro="" textlink="">
        <xdr:nvSpPr>
          <xdr:cNvPr id="129" name="TextBox 128">
            <a:extLst>
              <a:ext uri="{FF2B5EF4-FFF2-40B4-BE49-F238E27FC236}">
                <a16:creationId xmlns:a16="http://schemas.microsoft.com/office/drawing/2014/main" id="{225AA752-9DC6-487D-A4A1-48EFBB6D469D}"/>
              </a:ext>
            </a:extLst>
          </xdr:cNvPr>
          <xdr:cNvSpPr txBox="1"/>
        </xdr:nvSpPr>
        <xdr:spPr>
          <a:xfrm>
            <a:off x="4352924" y="2085974"/>
            <a:ext cx="4124326" cy="2952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r>
              <a:rPr lang="en-US" sz="1200" b="1">
                <a:solidFill>
                  <a:schemeClr val="bg1">
                    <a:lumMod val="85000"/>
                  </a:schemeClr>
                </a:solidFill>
              </a:rPr>
              <a:t>Bus</a:t>
            </a:r>
            <a:r>
              <a:rPr lang="en-US" sz="1200" b="1" baseline="0">
                <a:solidFill>
                  <a:schemeClr val="bg1">
                    <a:lumMod val="85000"/>
                  </a:schemeClr>
                </a:solidFill>
              </a:rPr>
              <a:t> Utilization By </a:t>
            </a:r>
            <a:r>
              <a:rPr lang="en-US" sz="1400" b="1" baseline="0">
                <a:solidFill>
                  <a:schemeClr val="bg1">
                    <a:lumMod val="85000"/>
                  </a:schemeClr>
                </a:solidFill>
              </a:rPr>
              <a:t>Time</a:t>
            </a:r>
            <a:r>
              <a:rPr lang="en-US" sz="1200" b="1" baseline="0">
                <a:solidFill>
                  <a:schemeClr val="bg1">
                    <a:lumMod val="85000"/>
                  </a:schemeClr>
                </a:solidFill>
              </a:rPr>
              <a:t> Range </a:t>
            </a:r>
            <a:r>
              <a:rPr lang="en-US" sz="1050" b="1" baseline="0">
                <a:solidFill>
                  <a:schemeClr val="bg1">
                    <a:lumMod val="85000"/>
                  </a:schemeClr>
                </a:solidFill>
              </a:rPr>
              <a:t>(Total  Passenger by Time)</a:t>
            </a:r>
            <a:endParaRPr lang="en-US" sz="1200" b="1">
              <a:solidFill>
                <a:schemeClr val="bg1">
                  <a:lumMod val="85000"/>
                </a:schemeClr>
              </a:solidFill>
            </a:endParaRPr>
          </a:p>
        </xdr:txBody>
      </xdr:sp>
      <xdr:sp macro="" textlink="">
        <xdr:nvSpPr>
          <xdr:cNvPr id="130" name="Oval 129">
            <a:extLst>
              <a:ext uri="{FF2B5EF4-FFF2-40B4-BE49-F238E27FC236}">
                <a16:creationId xmlns:a16="http://schemas.microsoft.com/office/drawing/2014/main" id="{966D242E-91B7-466F-A694-A25E5AA1A7D1}"/>
              </a:ext>
            </a:extLst>
          </xdr:cNvPr>
          <xdr:cNvSpPr/>
        </xdr:nvSpPr>
        <xdr:spPr>
          <a:xfrm>
            <a:off x="4200525" y="2171700"/>
            <a:ext cx="162468" cy="144891"/>
          </a:xfrm>
          <a:prstGeom prst="ellipse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457200</xdr:colOff>
      <xdr:row>11</xdr:row>
      <xdr:rowOff>133350</xdr:rowOff>
    </xdr:from>
    <xdr:to>
      <xdr:col>13</xdr:col>
      <xdr:colOff>304800</xdr:colOff>
      <xdr:row>22</xdr:row>
      <xdr:rowOff>114299</xdr:rowOff>
    </xdr:to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1A587479-3B79-40DD-A708-0B6FE3C8E9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14</xdr:row>
      <xdr:rowOff>95249</xdr:rowOff>
    </xdr:from>
    <xdr:to>
      <xdr:col>14</xdr:col>
      <xdr:colOff>400049</xdr:colOff>
      <xdr:row>17</xdr:row>
      <xdr:rowOff>76201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1FC92D46-1F30-405A-ADB9-DEC5D16BED57}"/>
            </a:ext>
          </a:extLst>
        </xdr:cNvPr>
        <xdr:cNvGrpSpPr/>
      </xdr:nvGrpSpPr>
      <xdr:grpSpPr>
        <a:xfrm>
          <a:off x="6896100" y="2762249"/>
          <a:ext cx="2038349" cy="552452"/>
          <a:chOff x="7019925" y="2762249"/>
          <a:chExt cx="2038349" cy="552452"/>
        </a:xfrm>
      </xdr:grpSpPr>
      <xdr:sp macro="" textlink="Analysis_01!U22">
        <xdr:nvSpPr>
          <xdr:cNvPr id="132" name="TextBox 131">
            <a:extLst>
              <a:ext uri="{FF2B5EF4-FFF2-40B4-BE49-F238E27FC236}">
                <a16:creationId xmlns:a16="http://schemas.microsoft.com/office/drawing/2014/main" id="{95787E72-55CD-49BE-8BEF-16D83A814463}"/>
              </a:ext>
            </a:extLst>
          </xdr:cNvPr>
          <xdr:cNvSpPr txBox="1"/>
        </xdr:nvSpPr>
        <xdr:spPr>
          <a:xfrm>
            <a:off x="7019925" y="2762249"/>
            <a:ext cx="2038349" cy="2952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FA2D3B43-38FE-4D16-A688-778BF633E0B5}" type="TxLink">
              <a:rPr lang="en-US" sz="1400" b="1" i="0" u="none" strike="noStrike">
                <a:solidFill>
                  <a:schemeClr val="bg1">
                    <a:lumMod val="85000"/>
                  </a:schemeClr>
                </a:solidFill>
                <a:latin typeface="Calibri"/>
                <a:cs typeface="Calibri"/>
              </a:rPr>
              <a:pPr algn="ctr"/>
              <a:t>Peak Hour of Operation</a:t>
            </a:fld>
            <a:endParaRPr lang="en-US" sz="1600" b="1">
              <a:solidFill>
                <a:schemeClr val="bg1">
                  <a:lumMod val="85000"/>
                </a:schemeClr>
              </a:solidFill>
            </a:endParaRPr>
          </a:p>
        </xdr:txBody>
      </xdr:sp>
      <xdr:sp macro="" textlink="Analysis_01!U24">
        <xdr:nvSpPr>
          <xdr:cNvPr id="133" name="TextBox 132">
            <a:extLst>
              <a:ext uri="{FF2B5EF4-FFF2-40B4-BE49-F238E27FC236}">
                <a16:creationId xmlns:a16="http://schemas.microsoft.com/office/drawing/2014/main" id="{397D7B14-3B3F-4284-8F92-4D6E0C8BBEA1}"/>
              </a:ext>
            </a:extLst>
          </xdr:cNvPr>
          <xdr:cNvSpPr txBox="1"/>
        </xdr:nvSpPr>
        <xdr:spPr>
          <a:xfrm>
            <a:off x="7324725" y="3038475"/>
            <a:ext cx="1457324" cy="2762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B1B0774A-B92F-4D37-A9DC-F252AE10A23E}" type="TxLink">
              <a:rPr lang="en-US" sz="1600" b="1" i="0" u="none" strike="noStrike">
                <a:solidFill>
                  <a:schemeClr val="bg1">
                    <a:lumMod val="65000"/>
                  </a:schemeClr>
                </a:solidFill>
                <a:latin typeface="Calibri"/>
                <a:cs typeface="Calibri"/>
              </a:rPr>
              <a:pPr algn="ctr"/>
              <a:t>11:41:00 AM</a:t>
            </a:fld>
            <a:endParaRPr lang="en-US" sz="2400" b="1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10</xdr:col>
      <xdr:colOff>590550</xdr:colOff>
      <xdr:row>19</xdr:row>
      <xdr:rowOff>142874</xdr:rowOff>
    </xdr:from>
    <xdr:to>
      <xdr:col>14</xdr:col>
      <xdr:colOff>400049</xdr:colOff>
      <xdr:row>22</xdr:row>
      <xdr:rowOff>85725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C0A3C81B-D58E-4E4D-BD1E-82A41C9FAA8C}"/>
            </a:ext>
          </a:extLst>
        </xdr:cNvPr>
        <xdr:cNvGrpSpPr/>
      </xdr:nvGrpSpPr>
      <xdr:grpSpPr>
        <a:xfrm>
          <a:off x="6686550" y="3762374"/>
          <a:ext cx="2247899" cy="514351"/>
          <a:chOff x="6686550" y="3762374"/>
          <a:chExt cx="2247899" cy="514351"/>
        </a:xfrm>
      </xdr:grpSpPr>
      <xdr:sp macro="" textlink="Analysis_01!U26">
        <xdr:nvSpPr>
          <xdr:cNvPr id="134" name="TextBox 133">
            <a:extLst>
              <a:ext uri="{FF2B5EF4-FFF2-40B4-BE49-F238E27FC236}">
                <a16:creationId xmlns:a16="http://schemas.microsoft.com/office/drawing/2014/main" id="{B7305761-1709-4CDE-9E2A-05408ADB4987}"/>
              </a:ext>
            </a:extLst>
          </xdr:cNvPr>
          <xdr:cNvSpPr txBox="1"/>
        </xdr:nvSpPr>
        <xdr:spPr>
          <a:xfrm>
            <a:off x="6686550" y="3762374"/>
            <a:ext cx="2247899" cy="2952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DF393BEB-8CD7-4852-BB26-C85BBA181E04}" type="TxLink">
              <a:rPr lang="en-US" sz="1400" b="1" i="0" u="none" strike="noStrike">
                <a:solidFill>
                  <a:schemeClr val="bg1">
                    <a:lumMod val="85000"/>
                  </a:schemeClr>
                </a:solidFill>
                <a:latin typeface="Calibri"/>
                <a:cs typeface="Calibri"/>
              </a:rPr>
              <a:pPr algn="ctr"/>
              <a:t>Off-Peak Hour of Operation</a:t>
            </a:fld>
            <a:endParaRPr lang="en-US" sz="2000" b="1">
              <a:solidFill>
                <a:schemeClr val="bg1">
                  <a:lumMod val="85000"/>
                </a:schemeClr>
              </a:solidFill>
            </a:endParaRPr>
          </a:p>
        </xdr:txBody>
      </xdr:sp>
      <xdr:sp macro="" textlink="Analysis_01!U27">
        <xdr:nvSpPr>
          <xdr:cNvPr id="135" name="TextBox 134">
            <a:extLst>
              <a:ext uri="{FF2B5EF4-FFF2-40B4-BE49-F238E27FC236}">
                <a16:creationId xmlns:a16="http://schemas.microsoft.com/office/drawing/2014/main" id="{D6163C3E-87E9-4414-9D23-D148591DFB34}"/>
              </a:ext>
            </a:extLst>
          </xdr:cNvPr>
          <xdr:cNvSpPr txBox="1"/>
        </xdr:nvSpPr>
        <xdr:spPr>
          <a:xfrm>
            <a:off x="7115175" y="4029074"/>
            <a:ext cx="1647825" cy="2476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28D6FC89-ACCA-4104-A9BF-17CA5CDD4449}" type="TxLink">
              <a:rPr lang="en-US" sz="1600" b="1" i="0" u="none" strike="noStrike">
                <a:solidFill>
                  <a:schemeClr val="bg1">
                    <a:lumMod val="65000"/>
                  </a:schemeClr>
                </a:solidFill>
                <a:latin typeface="Calibri"/>
                <a:cs typeface="Calibri"/>
              </a:rPr>
              <a:pPr algn="ctr"/>
              <a:t>12:34:00 PM</a:t>
            </a:fld>
            <a:endParaRPr lang="en-US" sz="2400" b="1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571500</xdr:colOff>
      <xdr:row>25</xdr:row>
      <xdr:rowOff>28575</xdr:rowOff>
    </xdr:from>
    <xdr:to>
      <xdr:col>10</xdr:col>
      <xdr:colOff>238125</xdr:colOff>
      <xdr:row>31</xdr:row>
      <xdr:rowOff>85725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34765A6E-A95E-4CAA-8EAA-B905344245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523874</xdr:colOff>
      <xdr:row>23</xdr:row>
      <xdr:rowOff>104775</xdr:rowOff>
    </xdr:from>
    <xdr:to>
      <xdr:col>12</xdr:col>
      <xdr:colOff>533399</xdr:colOff>
      <xdr:row>25</xdr:row>
      <xdr:rowOff>19050</xdr:rowOff>
    </xdr:to>
    <xdr:grpSp>
      <xdr:nvGrpSpPr>
        <xdr:cNvPr id="52" name="Group 51">
          <a:extLst>
            <a:ext uri="{FF2B5EF4-FFF2-40B4-BE49-F238E27FC236}">
              <a16:creationId xmlns:a16="http://schemas.microsoft.com/office/drawing/2014/main" id="{AA158962-82D8-4934-BB1F-57E2AE1018FB}"/>
            </a:ext>
          </a:extLst>
        </xdr:cNvPr>
        <xdr:cNvGrpSpPr/>
      </xdr:nvGrpSpPr>
      <xdr:grpSpPr>
        <a:xfrm>
          <a:off x="3571874" y="4486275"/>
          <a:ext cx="4276725" cy="295275"/>
          <a:chOff x="4200525" y="2085974"/>
          <a:chExt cx="4276725" cy="295275"/>
        </a:xfrm>
      </xdr:grpSpPr>
      <xdr:sp macro="" textlink="">
        <xdr:nvSpPr>
          <xdr:cNvPr id="53" name="TextBox 52">
            <a:extLst>
              <a:ext uri="{FF2B5EF4-FFF2-40B4-BE49-F238E27FC236}">
                <a16:creationId xmlns:a16="http://schemas.microsoft.com/office/drawing/2014/main" id="{F60CC574-F576-42A7-9939-AED1D7417AAE}"/>
              </a:ext>
            </a:extLst>
          </xdr:cNvPr>
          <xdr:cNvSpPr txBox="1"/>
        </xdr:nvSpPr>
        <xdr:spPr>
          <a:xfrm>
            <a:off x="4352924" y="2085974"/>
            <a:ext cx="4124326" cy="2952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r>
              <a:rPr lang="en-US" sz="1400" b="1">
                <a:solidFill>
                  <a:schemeClr val="bg1">
                    <a:lumMod val="85000"/>
                  </a:schemeClr>
                </a:solidFill>
              </a:rPr>
              <a:t>Total</a:t>
            </a:r>
            <a:r>
              <a:rPr lang="en-US" sz="1400" b="1" baseline="0">
                <a:solidFill>
                  <a:schemeClr val="bg1">
                    <a:lumMod val="85000"/>
                  </a:schemeClr>
                </a:solidFill>
              </a:rPr>
              <a:t> Rider Yearly distribution</a:t>
            </a:r>
            <a:endParaRPr lang="en-US" sz="1400" b="1">
              <a:solidFill>
                <a:schemeClr val="bg1">
                  <a:lumMod val="85000"/>
                </a:schemeClr>
              </a:solidFill>
            </a:endParaRPr>
          </a:p>
        </xdr:txBody>
      </xdr:sp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E096AEA7-0A6A-4D7D-BAD4-9B35A5230870}"/>
              </a:ext>
            </a:extLst>
          </xdr:cNvPr>
          <xdr:cNvSpPr/>
        </xdr:nvSpPr>
        <xdr:spPr>
          <a:xfrm>
            <a:off x="4200525" y="2171700"/>
            <a:ext cx="162468" cy="144891"/>
          </a:xfrm>
          <a:prstGeom prst="ellipse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200"/>
          </a:p>
        </xdr:txBody>
      </xdr:sp>
    </xdr:grpSp>
    <xdr:clientData/>
  </xdr:twoCellAnchor>
  <xdr:twoCellAnchor>
    <xdr:from>
      <xdr:col>9</xdr:col>
      <xdr:colOff>371476</xdr:colOff>
      <xdr:row>24</xdr:row>
      <xdr:rowOff>133349</xdr:rowOff>
    </xdr:from>
    <xdr:to>
      <xdr:col>11</xdr:col>
      <xdr:colOff>419102</xdr:colOff>
      <xdr:row>30</xdr:row>
      <xdr:rowOff>19050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C25209CB-1E1A-47FA-9986-A55976F596F4}"/>
            </a:ext>
          </a:extLst>
        </xdr:cNvPr>
        <xdr:cNvGrpSpPr/>
      </xdr:nvGrpSpPr>
      <xdr:grpSpPr>
        <a:xfrm>
          <a:off x="5857876" y="4705349"/>
          <a:ext cx="1266826" cy="1028701"/>
          <a:chOff x="6267451" y="4848224"/>
          <a:chExt cx="1619250" cy="800100"/>
        </a:xfrm>
      </xdr:grpSpPr>
      <xdr:sp macro="" textlink="Analysis_01!U22">
        <xdr:nvSpPr>
          <xdr:cNvPr id="55" name="TextBox 54">
            <a:extLst>
              <a:ext uri="{FF2B5EF4-FFF2-40B4-BE49-F238E27FC236}">
                <a16:creationId xmlns:a16="http://schemas.microsoft.com/office/drawing/2014/main" id="{3A266066-8F42-43FC-A9A3-70887A787642}"/>
              </a:ext>
            </a:extLst>
          </xdr:cNvPr>
          <xdr:cNvSpPr txBox="1"/>
        </xdr:nvSpPr>
        <xdr:spPr>
          <a:xfrm>
            <a:off x="6267451" y="4848224"/>
            <a:ext cx="1581150" cy="2952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400" b="1">
                <a:solidFill>
                  <a:schemeClr val="bg1">
                    <a:lumMod val="85000"/>
                  </a:schemeClr>
                </a:solidFill>
              </a:rPr>
              <a:t>YOT</a:t>
            </a:r>
            <a:r>
              <a:rPr lang="en-US" sz="1400" b="1" baseline="0">
                <a:solidFill>
                  <a:schemeClr val="bg1">
                    <a:lumMod val="85000"/>
                  </a:schemeClr>
                </a:solidFill>
              </a:rPr>
              <a:t> Change</a:t>
            </a:r>
            <a:endParaRPr lang="en-US" sz="1400" b="1">
              <a:solidFill>
                <a:schemeClr val="bg1">
                  <a:lumMod val="85000"/>
                </a:schemeClr>
              </a:solidFill>
            </a:endParaRPr>
          </a:p>
        </xdr:txBody>
      </xdr:sp>
      <xdr:sp macro="" textlink="Analysis_01!AA19">
        <xdr:nvSpPr>
          <xdr:cNvPr id="56" name="TextBox 55">
            <a:extLst>
              <a:ext uri="{FF2B5EF4-FFF2-40B4-BE49-F238E27FC236}">
                <a16:creationId xmlns:a16="http://schemas.microsoft.com/office/drawing/2014/main" id="{B0C35E98-37D1-49E0-A419-7211DD15D4F7}"/>
              </a:ext>
            </a:extLst>
          </xdr:cNvPr>
          <xdr:cNvSpPr txBox="1"/>
        </xdr:nvSpPr>
        <xdr:spPr>
          <a:xfrm>
            <a:off x="6267451" y="5105399"/>
            <a:ext cx="1581150" cy="2952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F66E5B90-A516-4E49-81ED-777C4627D233}" type="TxLink">
              <a:rPr lang="en-US" sz="1600" b="1" i="0" u="none" strike="noStrike">
                <a:solidFill>
                  <a:schemeClr val="bg1">
                    <a:lumMod val="75000"/>
                  </a:schemeClr>
                </a:solidFill>
                <a:latin typeface="Calibri"/>
                <a:cs typeface="Calibri"/>
              </a:rPr>
              <a:t>-83.50%</a:t>
            </a:fld>
            <a:endParaRPr lang="en-US" sz="2400" b="1">
              <a:solidFill>
                <a:schemeClr val="bg1">
                  <a:lumMod val="75000"/>
                </a:schemeClr>
              </a:solidFill>
            </a:endParaRPr>
          </a:p>
        </xdr:txBody>
      </xdr:sp>
      <xdr:sp macro="" textlink="Analysis_01!AB19">
        <xdr:nvSpPr>
          <xdr:cNvPr id="57" name="TextBox 56">
            <a:extLst>
              <a:ext uri="{FF2B5EF4-FFF2-40B4-BE49-F238E27FC236}">
                <a16:creationId xmlns:a16="http://schemas.microsoft.com/office/drawing/2014/main" id="{7CCF310E-B5C2-47D7-82C5-C65A3702DD8D}"/>
              </a:ext>
            </a:extLst>
          </xdr:cNvPr>
          <xdr:cNvSpPr txBox="1"/>
        </xdr:nvSpPr>
        <xdr:spPr>
          <a:xfrm>
            <a:off x="6305551" y="5353049"/>
            <a:ext cx="1581150" cy="2952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984354E4-8194-43F4-B4FB-63017FD37FFF}" type="TxLink">
              <a:rPr lang="en-US" sz="1600" b="1" i="0" u="none" strike="noStrike">
                <a:solidFill>
                  <a:schemeClr val="bg1">
                    <a:lumMod val="75000"/>
                  </a:schemeClr>
                </a:solidFill>
                <a:latin typeface="Calibri"/>
                <a:cs typeface="Calibri"/>
              </a:rPr>
              <a:t>▼</a:t>
            </a:fld>
            <a:endParaRPr lang="en-US" sz="2400" b="1">
              <a:solidFill>
                <a:schemeClr val="bg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447670</xdr:colOff>
      <xdr:row>21</xdr:row>
      <xdr:rowOff>190496</xdr:rowOff>
    </xdr:from>
    <xdr:to>
      <xdr:col>4</xdr:col>
      <xdr:colOff>428625</xdr:colOff>
      <xdr:row>32</xdr:row>
      <xdr:rowOff>9525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E44A5F2-60C9-4D57-9C28-F1EADBC9E738}"/>
            </a:ext>
          </a:extLst>
        </xdr:cNvPr>
        <xdr:cNvGrpSpPr/>
      </xdr:nvGrpSpPr>
      <xdr:grpSpPr>
        <a:xfrm>
          <a:off x="447670" y="4190996"/>
          <a:ext cx="2419355" cy="1914529"/>
          <a:chOff x="7267569" y="4657722"/>
          <a:chExt cx="1600206" cy="1299481"/>
        </a:xfrm>
      </xdr:grpSpPr>
      <xdr:sp macro="" textlink="">
        <xdr:nvSpPr>
          <xdr:cNvPr id="60" name="Rectangle: Rounded Corners 59">
            <a:extLst>
              <a:ext uri="{FF2B5EF4-FFF2-40B4-BE49-F238E27FC236}">
                <a16:creationId xmlns:a16="http://schemas.microsoft.com/office/drawing/2014/main" id="{1D2F5785-75EE-4150-88E8-BCC4E887731F}"/>
              </a:ext>
            </a:extLst>
          </xdr:cNvPr>
          <xdr:cNvSpPr/>
        </xdr:nvSpPr>
        <xdr:spPr>
          <a:xfrm>
            <a:off x="7267574" y="4657724"/>
            <a:ext cx="1600201" cy="1299479"/>
          </a:xfrm>
          <a:prstGeom prst="roundRect">
            <a:avLst>
              <a:gd name="adj" fmla="val 5207"/>
            </a:avLst>
          </a:prstGeom>
          <a:gradFill flip="none" rotWithShape="1">
            <a:gsLst>
              <a:gs pos="93805">
                <a:schemeClr val="tx1"/>
              </a:gs>
              <a:gs pos="84000">
                <a:schemeClr val="tx1">
                  <a:lumMod val="50000"/>
                  <a:lumOff val="50000"/>
                </a:schemeClr>
              </a:gs>
              <a:gs pos="27000">
                <a:schemeClr val="tx1">
                  <a:lumMod val="50000"/>
                  <a:lumOff val="50000"/>
                </a:schemeClr>
              </a:gs>
              <a:gs pos="0">
                <a:schemeClr val="tx1">
                  <a:lumMod val="85000"/>
                  <a:lumOff val="15000"/>
                </a:schemeClr>
              </a:gs>
              <a:gs pos="86000">
                <a:schemeClr val="tx1"/>
              </a:gs>
              <a:gs pos="77000">
                <a:schemeClr val="tx1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000"/>
          </a:p>
        </xdr:txBody>
      </xdr:sp>
      <xdr:sp macro="" textlink="">
        <xdr:nvSpPr>
          <xdr:cNvPr id="61" name="Rectangle: Rounded Corners 60">
            <a:extLst>
              <a:ext uri="{FF2B5EF4-FFF2-40B4-BE49-F238E27FC236}">
                <a16:creationId xmlns:a16="http://schemas.microsoft.com/office/drawing/2014/main" id="{405E2FD0-124A-4173-ACC5-D006F73FA29B}"/>
              </a:ext>
            </a:extLst>
          </xdr:cNvPr>
          <xdr:cNvSpPr/>
        </xdr:nvSpPr>
        <xdr:spPr>
          <a:xfrm rot="10800000">
            <a:off x="7267569" y="4657722"/>
            <a:ext cx="1600202" cy="1015220"/>
          </a:xfrm>
          <a:prstGeom prst="roundRect">
            <a:avLst>
              <a:gd name="adj" fmla="val 5207"/>
            </a:avLst>
          </a:prstGeom>
          <a:gradFill flip="none" rotWithShape="1">
            <a:gsLst>
              <a:gs pos="93805">
                <a:schemeClr val="tx1"/>
              </a:gs>
              <a:gs pos="84000">
                <a:schemeClr val="tx1">
                  <a:lumMod val="50000"/>
                  <a:lumOff val="50000"/>
                </a:schemeClr>
              </a:gs>
              <a:gs pos="27000">
                <a:schemeClr val="tx1">
                  <a:lumMod val="50000"/>
                  <a:lumOff val="50000"/>
                </a:schemeClr>
              </a:gs>
              <a:gs pos="0">
                <a:schemeClr val="tx1">
                  <a:lumMod val="85000"/>
                  <a:lumOff val="15000"/>
                </a:schemeClr>
              </a:gs>
              <a:gs pos="86000">
                <a:schemeClr val="tx1"/>
              </a:gs>
              <a:gs pos="77000">
                <a:schemeClr val="tx1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000"/>
          </a:p>
        </xdr:txBody>
      </xdr:sp>
    </xdr:grpSp>
    <xdr:clientData/>
  </xdr:twoCellAnchor>
  <xdr:twoCellAnchor>
    <xdr:from>
      <xdr:col>14</xdr:col>
      <xdr:colOff>600075</xdr:colOff>
      <xdr:row>23</xdr:row>
      <xdr:rowOff>76200</xdr:rowOff>
    </xdr:from>
    <xdr:to>
      <xdr:col>19</xdr:col>
      <xdr:colOff>504825</xdr:colOff>
      <xdr:row>31</xdr:row>
      <xdr:rowOff>114300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7D26D3F8-1C54-4DE3-B9CF-AA2B80BA8B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590549</xdr:colOff>
      <xdr:row>11</xdr:row>
      <xdr:rowOff>161925</xdr:rowOff>
    </xdr:from>
    <xdr:to>
      <xdr:col>19</xdr:col>
      <xdr:colOff>504824</xdr:colOff>
      <xdr:row>18</xdr:row>
      <xdr:rowOff>161925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353AB497-2100-43F4-AA8C-B707649136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200025</xdr:colOff>
      <xdr:row>10</xdr:row>
      <xdr:rowOff>38099</xdr:rowOff>
    </xdr:from>
    <xdr:to>
      <xdr:col>19</xdr:col>
      <xdr:colOff>66675</xdr:colOff>
      <xdr:row>11</xdr:row>
      <xdr:rowOff>171450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C99DB5E0-05E5-4D4B-AA4B-3BCA601505E9}"/>
            </a:ext>
          </a:extLst>
        </xdr:cNvPr>
        <xdr:cNvGrpSpPr/>
      </xdr:nvGrpSpPr>
      <xdr:grpSpPr>
        <a:xfrm>
          <a:off x="9344025" y="1943099"/>
          <a:ext cx="2305050" cy="323851"/>
          <a:chOff x="4200525" y="2085974"/>
          <a:chExt cx="4276725" cy="295275"/>
        </a:xfrm>
      </xdr:grpSpPr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A5121495-7AAE-45DA-9D62-006D8E67D8C6}"/>
              </a:ext>
            </a:extLst>
          </xdr:cNvPr>
          <xdr:cNvSpPr txBox="1"/>
        </xdr:nvSpPr>
        <xdr:spPr>
          <a:xfrm>
            <a:off x="4352924" y="2085974"/>
            <a:ext cx="4124326" cy="2952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r>
              <a:rPr lang="en-US" sz="1200" b="1">
                <a:solidFill>
                  <a:schemeClr val="bg1">
                    <a:lumMod val="85000"/>
                  </a:schemeClr>
                </a:solidFill>
              </a:rPr>
              <a:t>Riders</a:t>
            </a:r>
            <a:r>
              <a:rPr lang="en-US" sz="1200" b="1" baseline="0">
                <a:solidFill>
                  <a:schemeClr val="bg1">
                    <a:lumMod val="85000"/>
                  </a:schemeClr>
                </a:solidFill>
              </a:rPr>
              <a:t> Monthly Distribution</a:t>
            </a:r>
            <a:endParaRPr lang="en-US" sz="1200" b="1">
              <a:solidFill>
                <a:schemeClr val="bg1">
                  <a:lumMod val="85000"/>
                </a:schemeClr>
              </a:solidFill>
            </a:endParaRPr>
          </a:p>
        </xdr:txBody>
      </xdr:sp>
      <xdr:sp macro="" textlink="">
        <xdr:nvSpPr>
          <xdr:cNvPr id="68" name="Oval 67">
            <a:extLst>
              <a:ext uri="{FF2B5EF4-FFF2-40B4-BE49-F238E27FC236}">
                <a16:creationId xmlns:a16="http://schemas.microsoft.com/office/drawing/2014/main" id="{1819C9F6-D1FB-4643-9854-916AE50745B0}"/>
              </a:ext>
            </a:extLst>
          </xdr:cNvPr>
          <xdr:cNvSpPr/>
        </xdr:nvSpPr>
        <xdr:spPr>
          <a:xfrm>
            <a:off x="4200525" y="2171701"/>
            <a:ext cx="268494" cy="114300"/>
          </a:xfrm>
          <a:prstGeom prst="ellipse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15</xdr:col>
      <xdr:colOff>19050</xdr:colOff>
      <xdr:row>19</xdr:row>
      <xdr:rowOff>104776</xdr:rowOff>
    </xdr:from>
    <xdr:to>
      <xdr:col>18</xdr:col>
      <xdr:colOff>333375</xdr:colOff>
      <xdr:row>20</xdr:row>
      <xdr:rowOff>180976</xdr:rowOff>
    </xdr:to>
    <xdr:grpSp>
      <xdr:nvGrpSpPr>
        <xdr:cNvPr id="71" name="Group 70">
          <a:extLst>
            <a:ext uri="{FF2B5EF4-FFF2-40B4-BE49-F238E27FC236}">
              <a16:creationId xmlns:a16="http://schemas.microsoft.com/office/drawing/2014/main" id="{6A25DE7F-E4CB-4BA6-A2DA-D102923D377A}"/>
            </a:ext>
          </a:extLst>
        </xdr:cNvPr>
        <xdr:cNvGrpSpPr/>
      </xdr:nvGrpSpPr>
      <xdr:grpSpPr>
        <a:xfrm>
          <a:off x="9163050" y="3724276"/>
          <a:ext cx="2143125" cy="266700"/>
          <a:chOff x="4200525" y="2085974"/>
          <a:chExt cx="4276725" cy="295275"/>
        </a:xfrm>
      </xdr:grpSpPr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163F3575-FCA1-478C-8E0B-DD7D386CF467}"/>
              </a:ext>
            </a:extLst>
          </xdr:cNvPr>
          <xdr:cNvSpPr txBox="1"/>
        </xdr:nvSpPr>
        <xdr:spPr>
          <a:xfrm>
            <a:off x="4352924" y="2085974"/>
            <a:ext cx="4124326" cy="2952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r>
              <a:rPr lang="en-US" sz="1200" b="1">
                <a:solidFill>
                  <a:schemeClr val="bg1">
                    <a:lumMod val="85000"/>
                  </a:schemeClr>
                </a:solidFill>
              </a:rPr>
              <a:t>Rider</a:t>
            </a:r>
            <a:r>
              <a:rPr lang="en-US" sz="1200" b="1" baseline="0">
                <a:solidFill>
                  <a:schemeClr val="bg1">
                    <a:lumMod val="85000"/>
                  </a:schemeClr>
                </a:solidFill>
              </a:rPr>
              <a:t> Monthly Distribution</a:t>
            </a:r>
            <a:endParaRPr lang="en-US" sz="1200" b="1">
              <a:solidFill>
                <a:schemeClr val="bg1">
                  <a:lumMod val="85000"/>
                </a:schemeClr>
              </a:solidFill>
            </a:endParaRPr>
          </a:p>
        </xdr:txBody>
      </xdr:sp>
      <xdr:sp macro="" textlink="">
        <xdr:nvSpPr>
          <xdr:cNvPr id="74" name="Oval 73">
            <a:extLst>
              <a:ext uri="{FF2B5EF4-FFF2-40B4-BE49-F238E27FC236}">
                <a16:creationId xmlns:a16="http://schemas.microsoft.com/office/drawing/2014/main" id="{FE157536-BF36-4196-A0DD-DFC3336AB291}"/>
              </a:ext>
            </a:extLst>
          </xdr:cNvPr>
          <xdr:cNvSpPr/>
        </xdr:nvSpPr>
        <xdr:spPr>
          <a:xfrm>
            <a:off x="4200525" y="2184399"/>
            <a:ext cx="272155" cy="132192"/>
          </a:xfrm>
          <a:prstGeom prst="ellipse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15</xdr:col>
      <xdr:colOff>57151</xdr:colOff>
      <xdr:row>20</xdr:row>
      <xdr:rowOff>66675</xdr:rowOff>
    </xdr:from>
    <xdr:to>
      <xdr:col>19</xdr:col>
      <xdr:colOff>476251</xdr:colOff>
      <xdr:row>24</xdr:row>
      <xdr:rowOff>123825</xdr:rowOff>
    </xdr:to>
    <xdr:sp macro="" textlink="Analysis_01!AI21">
      <xdr:nvSpPr>
        <xdr:cNvPr id="75" name="TextBox 74">
          <a:extLst>
            <a:ext uri="{FF2B5EF4-FFF2-40B4-BE49-F238E27FC236}">
              <a16:creationId xmlns:a16="http://schemas.microsoft.com/office/drawing/2014/main" id="{8FDE0CC3-7251-4194-A75B-BA30C6C5EC64}"/>
            </a:ext>
          </a:extLst>
        </xdr:cNvPr>
        <xdr:cNvSpPr txBox="1"/>
      </xdr:nvSpPr>
      <xdr:spPr>
        <a:xfrm>
          <a:off x="9201151" y="3876675"/>
          <a:ext cx="2857500" cy="819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3E17F173-17B5-4061-960E-EA9BD7019601}" type="TxLink">
            <a:rPr lang="en-US" sz="1200" b="0" i="0" u="none" strike="noStrike">
              <a:solidFill>
                <a:schemeClr val="bg1">
                  <a:lumMod val="85000"/>
                </a:schemeClr>
              </a:solidFill>
              <a:latin typeface="Calibri"/>
              <a:cs typeface="Calibri"/>
            </a:rPr>
            <a:pPr algn="ctr"/>
            <a:t>Focus on Highlighted Weekdays:they exceeded the 941 Passenger Average and acccount for 49.4% pf the Total Passengers</a:t>
          </a:fld>
          <a:endParaRPr lang="en-US" sz="12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15</xdr:col>
      <xdr:colOff>314325</xdr:colOff>
      <xdr:row>19</xdr:row>
      <xdr:rowOff>38100</xdr:rowOff>
    </xdr:from>
    <xdr:to>
      <xdr:col>19</xdr:col>
      <xdr:colOff>190500</xdr:colOff>
      <xdr:row>19</xdr:row>
      <xdr:rowOff>38100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id="{49B75724-3E80-4205-A3CA-5EF46283C7E2}"/>
            </a:ext>
          </a:extLst>
        </xdr:cNvPr>
        <xdr:cNvCxnSpPr/>
      </xdr:nvCxnSpPr>
      <xdr:spPr>
        <a:xfrm>
          <a:off x="9458325" y="3657600"/>
          <a:ext cx="2314575" cy="0"/>
        </a:xfrm>
        <a:prstGeom prst="line">
          <a:avLst/>
        </a:prstGeom>
        <a:ln w="63500">
          <a:gradFill flip="none" rotWithShape="1">
            <a:gsLst>
              <a:gs pos="0">
                <a:schemeClr val="tx1"/>
              </a:gs>
              <a:gs pos="42000">
                <a:schemeClr val="bg1">
                  <a:lumMod val="50000"/>
                </a:schemeClr>
              </a:gs>
              <a:gs pos="65000">
                <a:schemeClr val="bg1">
                  <a:lumMod val="50000"/>
                </a:schemeClr>
              </a:gs>
              <a:gs pos="100000">
                <a:schemeClr val="tx1"/>
              </a:gs>
            </a:gsLst>
            <a:lin ang="0" scaled="0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380999</xdr:colOff>
      <xdr:row>24</xdr:row>
      <xdr:rowOff>0</xdr:rowOff>
    </xdr:from>
    <xdr:to>
      <xdr:col>14</xdr:col>
      <xdr:colOff>331967</xdr:colOff>
      <xdr:row>31</xdr:row>
      <xdr:rowOff>152400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ABCE09D1-035E-48D2-B879-DD2ECE853935}"/>
            </a:ext>
          </a:extLst>
        </xdr:cNvPr>
        <xdr:cNvGrpSpPr/>
      </xdr:nvGrpSpPr>
      <xdr:grpSpPr>
        <a:xfrm>
          <a:off x="7086599" y="4572000"/>
          <a:ext cx="1779768" cy="1485900"/>
          <a:chOff x="7086600" y="4572000"/>
          <a:chExt cx="1657350" cy="1485900"/>
        </a:xfrm>
      </xdr:grpSpPr>
      <xdr:sp macro="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A5B9C600-9F20-4AED-A23D-14AE1614191A}"/>
              </a:ext>
            </a:extLst>
          </xdr:cNvPr>
          <xdr:cNvSpPr/>
        </xdr:nvSpPr>
        <xdr:spPr>
          <a:xfrm>
            <a:off x="7086600" y="4572000"/>
            <a:ext cx="1657350" cy="1485900"/>
          </a:xfrm>
          <a:prstGeom prst="roundRect">
            <a:avLst>
              <a:gd name="adj" fmla="val 8613"/>
            </a:avLst>
          </a:prstGeom>
          <a:gradFill flip="none" rotWithShape="1">
            <a:gsLst>
              <a:gs pos="54000">
                <a:schemeClr val="tx1">
                  <a:lumMod val="85000"/>
                  <a:lumOff val="15000"/>
                </a:schemeClr>
              </a:gs>
              <a:gs pos="100000">
                <a:schemeClr val="tx1">
                  <a:lumMod val="85000"/>
                  <a:lumOff val="15000"/>
                </a:schemeClr>
              </a:gs>
              <a:gs pos="6000">
                <a:schemeClr val="bg1">
                  <a:lumMod val="75000"/>
                </a:schemeClr>
              </a:gs>
              <a:gs pos="55000">
                <a:schemeClr val="accent3">
                  <a:lumMod val="100000"/>
                </a:schemeClr>
              </a:gs>
            </a:gsLst>
            <a:path path="circle">
              <a:fillToRect l="50000" t="-80000" r="50000" b="18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Analysis_01!Z26">
        <xdr:nvSpPr>
          <xdr:cNvPr id="63" name="TextBox 62">
            <a:extLst>
              <a:ext uri="{FF2B5EF4-FFF2-40B4-BE49-F238E27FC236}">
                <a16:creationId xmlns:a16="http://schemas.microsoft.com/office/drawing/2014/main" id="{DBD6E028-5DE5-4CC2-8E0B-0F19CA409774}"/>
              </a:ext>
            </a:extLst>
          </xdr:cNvPr>
          <xdr:cNvSpPr txBox="1"/>
        </xdr:nvSpPr>
        <xdr:spPr>
          <a:xfrm>
            <a:off x="7117795" y="5048249"/>
            <a:ext cx="1609726" cy="9144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751D1635-6330-44ED-A71C-C5C60F3E77B0}" type="TxLink">
              <a:rPr lang="en-US" sz="1100" b="1" i="0" u="none" strike="noStrike">
                <a:solidFill>
                  <a:schemeClr val="bg1">
                    <a:lumMod val="85000"/>
                  </a:schemeClr>
                </a:solidFill>
                <a:latin typeface="Calibri"/>
                <a:cs typeface="Calibri"/>
              </a:rPr>
              <a:t>YOY change suggest room for improvement,"We are doing well on the current Year</a:t>
            </a:fld>
            <a:endParaRPr lang="en-US" sz="1100" b="1">
              <a:solidFill>
                <a:schemeClr val="bg1">
                  <a:lumMod val="85000"/>
                </a:schemeClr>
              </a:solidFill>
            </a:endParaRPr>
          </a:p>
        </xdr:txBody>
      </xdr:sp>
    </xdr:grpSp>
    <xdr:clientData/>
  </xdr:twoCellAnchor>
  <xdr:twoCellAnchor>
    <xdr:from>
      <xdr:col>22</xdr:col>
      <xdr:colOff>247649</xdr:colOff>
      <xdr:row>11</xdr:row>
      <xdr:rowOff>38099</xdr:rowOff>
    </xdr:from>
    <xdr:to>
      <xdr:col>24</xdr:col>
      <xdr:colOff>322620</xdr:colOff>
      <xdr:row>12</xdr:row>
      <xdr:rowOff>127804</xdr:rowOff>
    </xdr:to>
    <xdr:sp macro="" textlink="Analysis_01!AP20">
      <xdr:nvSpPr>
        <xdr:cNvPr id="103" name="TextBox 102">
          <a:extLst>
            <a:ext uri="{FF2B5EF4-FFF2-40B4-BE49-F238E27FC236}">
              <a16:creationId xmlns:a16="http://schemas.microsoft.com/office/drawing/2014/main" id="{59FF57A4-3BC2-41B8-8AF1-D40D821F0F4F}"/>
            </a:ext>
          </a:extLst>
        </xdr:cNvPr>
        <xdr:cNvSpPr txBox="1"/>
      </xdr:nvSpPr>
      <xdr:spPr>
        <a:xfrm>
          <a:off x="13658849" y="2133599"/>
          <a:ext cx="129417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37F923BA-9B67-4C84-A907-69D5155140A8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alibri"/>
              <a:cs typeface="Calibri"/>
            </a:rPr>
            <a:pPr algn="ctr"/>
            <a:t>Over-Utilized</a:t>
          </a:fld>
          <a:endParaRPr lang="en-US" sz="16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20</xdr:col>
      <xdr:colOff>85724</xdr:colOff>
      <xdr:row>11</xdr:row>
      <xdr:rowOff>38099</xdr:rowOff>
    </xdr:from>
    <xdr:to>
      <xdr:col>22</xdr:col>
      <xdr:colOff>160695</xdr:colOff>
      <xdr:row>12</xdr:row>
      <xdr:rowOff>127804</xdr:rowOff>
    </xdr:to>
    <xdr:sp macro="" textlink="Analysis_01!AP21">
      <xdr:nvSpPr>
        <xdr:cNvPr id="106" name="TextBox 105">
          <a:extLst>
            <a:ext uri="{FF2B5EF4-FFF2-40B4-BE49-F238E27FC236}">
              <a16:creationId xmlns:a16="http://schemas.microsoft.com/office/drawing/2014/main" id="{DC588336-F656-4109-B5C4-A10B84B90481}"/>
            </a:ext>
          </a:extLst>
        </xdr:cNvPr>
        <xdr:cNvSpPr txBox="1"/>
      </xdr:nvSpPr>
      <xdr:spPr>
        <a:xfrm>
          <a:off x="12277724" y="2133599"/>
          <a:ext cx="129417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3A8A0579-36FD-489D-B865-F7A26F4C4E48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alibri"/>
              <a:cs typeface="Calibri"/>
            </a:rPr>
            <a:t>Under-Utilized</a:t>
          </a:fld>
          <a:endParaRPr lang="en-US" sz="20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20</xdr:col>
      <xdr:colOff>114301</xdr:colOff>
      <xdr:row>5</xdr:row>
      <xdr:rowOff>104775</xdr:rowOff>
    </xdr:from>
    <xdr:to>
      <xdr:col>24</xdr:col>
      <xdr:colOff>246420</xdr:colOff>
      <xdr:row>13</xdr:row>
      <xdr:rowOff>165904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4C69DE6A-9E61-466F-8688-B6EC4E07CE80}"/>
            </a:ext>
          </a:extLst>
        </xdr:cNvPr>
        <xdr:cNvGrpSpPr/>
      </xdr:nvGrpSpPr>
      <xdr:grpSpPr>
        <a:xfrm>
          <a:off x="12306301" y="1057275"/>
          <a:ext cx="2570519" cy="1585129"/>
          <a:chOff x="12306301" y="1057275"/>
          <a:chExt cx="2570519" cy="1585129"/>
        </a:xfrm>
      </xdr:grpSpPr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94746580-2154-4001-BA97-8A0BB043FB38}"/>
              </a:ext>
            </a:extLst>
          </xdr:cNvPr>
          <xdr:cNvGrpSpPr/>
        </xdr:nvGrpSpPr>
        <xdr:grpSpPr>
          <a:xfrm>
            <a:off x="12306301" y="1057275"/>
            <a:ext cx="2447923" cy="1276350"/>
            <a:chOff x="12306301" y="1057275"/>
            <a:chExt cx="2447923" cy="1266825"/>
          </a:xfrm>
        </xdr:grpSpPr>
        <xdr:grpSp>
          <xdr:nvGrpSpPr>
            <xdr:cNvPr id="20" name="Group 19">
              <a:extLst>
                <a:ext uri="{FF2B5EF4-FFF2-40B4-BE49-F238E27FC236}">
                  <a16:creationId xmlns:a16="http://schemas.microsoft.com/office/drawing/2014/main" id="{54AA370A-0184-492A-B24A-0AED5A998E87}"/>
                </a:ext>
              </a:extLst>
            </xdr:cNvPr>
            <xdr:cNvGrpSpPr/>
          </xdr:nvGrpSpPr>
          <xdr:grpSpPr>
            <a:xfrm>
              <a:off x="12306301" y="1057275"/>
              <a:ext cx="2447923" cy="1266825"/>
              <a:chOff x="12287251" y="2562225"/>
              <a:chExt cx="2447923" cy="1076325"/>
            </a:xfrm>
          </xdr:grpSpPr>
          <xdr:graphicFrame macro="">
            <xdr:nvGraphicFramePr>
              <xdr:cNvPr id="82" name="Chart 81">
                <a:extLst>
                  <a:ext uri="{FF2B5EF4-FFF2-40B4-BE49-F238E27FC236}">
                    <a16:creationId xmlns:a16="http://schemas.microsoft.com/office/drawing/2014/main" id="{A393CB68-C1CE-4B16-BF07-FE9E64FA603A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3620749" y="2571750"/>
              <a:ext cx="1114425" cy="10382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graphicFrame macro="">
            <xdr:nvGraphicFramePr>
              <xdr:cNvPr id="84" name="Chart 83">
                <a:extLst>
                  <a:ext uri="{FF2B5EF4-FFF2-40B4-BE49-F238E27FC236}">
                    <a16:creationId xmlns:a16="http://schemas.microsoft.com/office/drawing/2014/main" id="{E3B3FD37-8EF6-4816-971F-92FF390D8348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2287251" y="2562225"/>
              <a:ext cx="1200149" cy="107632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6"/>
              </a:graphicData>
            </a:graphic>
          </xdr:graphicFrame>
        </xdr:grpSp>
        <xdr:sp macro="" textlink="Analysis_01!AR20">
          <xdr:nvSpPr>
            <xdr:cNvPr id="86" name="TextBox 85">
              <a:extLst>
                <a:ext uri="{FF2B5EF4-FFF2-40B4-BE49-F238E27FC236}">
                  <a16:creationId xmlns:a16="http://schemas.microsoft.com/office/drawing/2014/main" id="{12687A23-B449-4D90-BBA8-93650BE4BA04}"/>
                </a:ext>
              </a:extLst>
            </xdr:cNvPr>
            <xdr:cNvSpPr txBox="1"/>
          </xdr:nvSpPr>
          <xdr:spPr>
            <a:xfrm>
              <a:off x="13925551" y="1523999"/>
              <a:ext cx="658741" cy="2854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9C860E1A-EB4B-4D2F-9DE3-3919EA79D48E}" type="TxLink">
                <a:rPr lang="en-US" sz="2000" b="1" i="0" u="none" strike="noStrike">
                  <a:solidFill>
                    <a:schemeClr val="bg1">
                      <a:lumMod val="85000"/>
                    </a:schemeClr>
                  </a:solidFill>
                  <a:latin typeface="Calibri"/>
                  <a:cs typeface="Calibri"/>
                </a:rPr>
                <a:pPr algn="ctr"/>
                <a:t>43%</a:t>
              </a:fld>
              <a:endParaRPr lang="en-US" sz="6000" b="1">
                <a:solidFill>
                  <a:schemeClr val="bg1">
                    <a:lumMod val="85000"/>
                  </a:schemeClr>
                </a:solidFill>
              </a:endParaRPr>
            </a:p>
          </xdr:txBody>
        </xdr:sp>
        <xdr:sp macro="" textlink="Analysis_01!AR21">
          <xdr:nvSpPr>
            <xdr:cNvPr id="88" name="TextBox 87">
              <a:extLst>
                <a:ext uri="{FF2B5EF4-FFF2-40B4-BE49-F238E27FC236}">
                  <a16:creationId xmlns:a16="http://schemas.microsoft.com/office/drawing/2014/main" id="{9268F0D1-529E-4FB4-BB92-DC0443CE11E5}"/>
                </a:ext>
              </a:extLst>
            </xdr:cNvPr>
            <xdr:cNvSpPr txBox="1"/>
          </xdr:nvSpPr>
          <xdr:spPr>
            <a:xfrm>
              <a:off x="12601576" y="1571624"/>
              <a:ext cx="658741" cy="2854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4F96660B-C3F8-492A-8D6D-B6E39CEDC22F}" type="TxLink">
                <a:rPr lang="en-US" sz="2000" b="1" i="0" u="none" strike="noStrike">
                  <a:solidFill>
                    <a:schemeClr val="bg1">
                      <a:lumMod val="85000"/>
                    </a:schemeClr>
                  </a:solidFill>
                  <a:latin typeface="Calibri"/>
                  <a:cs typeface="Calibri"/>
                </a:rPr>
                <a:pPr algn="ctr"/>
                <a:t>23%</a:t>
              </a:fld>
              <a:endParaRPr lang="en-US" sz="4000" b="1">
                <a:solidFill>
                  <a:schemeClr val="bg1">
                    <a:lumMod val="85000"/>
                  </a:schemeClr>
                </a:solidFill>
              </a:endParaRPr>
            </a:p>
          </xdr:txBody>
        </xdr:sp>
      </xdr:grpSp>
      <xdr:sp macro="" textlink="Analysis_01!AT20">
        <xdr:nvSpPr>
          <xdr:cNvPr id="108" name="TextBox 107">
            <a:extLst>
              <a:ext uri="{FF2B5EF4-FFF2-40B4-BE49-F238E27FC236}">
                <a16:creationId xmlns:a16="http://schemas.microsoft.com/office/drawing/2014/main" id="{360558C7-12CC-48D5-9F1A-579BE645FE7B}"/>
              </a:ext>
            </a:extLst>
          </xdr:cNvPr>
          <xdr:cNvSpPr txBox="1"/>
        </xdr:nvSpPr>
        <xdr:spPr>
          <a:xfrm>
            <a:off x="13782675" y="2343149"/>
            <a:ext cx="109414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B29314DA-F1D2-4B56-8681-BF0F3827EB94}" type="TxLink">
              <a:rPr lang="en-US" sz="1100" b="1" i="0" u="none" strike="noStrike">
                <a:solidFill>
                  <a:schemeClr val="bg1">
                    <a:lumMod val="85000"/>
                  </a:schemeClr>
                </a:solidFill>
                <a:latin typeface="Calibri"/>
                <a:cs typeface="Calibri"/>
              </a:rPr>
              <a:t>36Total Buses</a:t>
            </a:fld>
            <a:endParaRPr lang="en-US" sz="1600" b="1">
              <a:solidFill>
                <a:schemeClr val="bg1">
                  <a:lumMod val="85000"/>
                </a:schemeClr>
              </a:solidFill>
            </a:endParaRPr>
          </a:p>
        </xdr:txBody>
      </xdr:sp>
      <xdr:sp macro="" textlink="Analysis_01!AT21">
        <xdr:nvSpPr>
          <xdr:cNvPr id="109" name="TextBox 108">
            <a:extLst>
              <a:ext uri="{FF2B5EF4-FFF2-40B4-BE49-F238E27FC236}">
                <a16:creationId xmlns:a16="http://schemas.microsoft.com/office/drawing/2014/main" id="{C63BB57A-AFE7-4073-B88A-517A669E8D32}"/>
              </a:ext>
            </a:extLst>
          </xdr:cNvPr>
          <xdr:cNvSpPr txBox="1"/>
        </xdr:nvSpPr>
        <xdr:spPr>
          <a:xfrm>
            <a:off x="12372974" y="2362199"/>
            <a:ext cx="1066801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F4C1B73B-D6F1-47CD-846F-08C1FC9683DA}" type="TxLink">
              <a:rPr lang="en-US" sz="1100" b="1" i="0" u="none" strike="noStrike">
                <a:solidFill>
                  <a:schemeClr val="bg1">
                    <a:lumMod val="85000"/>
                  </a:schemeClr>
                </a:solidFill>
                <a:latin typeface="Calibri"/>
                <a:cs typeface="Calibri"/>
              </a:rPr>
              <a:t>19Total Buses</a:t>
            </a:fld>
            <a:endParaRPr lang="en-US" sz="2000" b="1">
              <a:solidFill>
                <a:schemeClr val="bg1">
                  <a:lumMod val="85000"/>
                </a:schemeClr>
              </a:solidFill>
            </a:endParaRPr>
          </a:p>
        </xdr:txBody>
      </xdr:sp>
    </xdr:grpSp>
    <xdr:clientData/>
  </xdr:twoCellAnchor>
  <xdr:twoCellAnchor>
    <xdr:from>
      <xdr:col>21</xdr:col>
      <xdr:colOff>161924</xdr:colOff>
      <xdr:row>13</xdr:row>
      <xdr:rowOff>133350</xdr:rowOff>
    </xdr:from>
    <xdr:to>
      <xdr:col>23</xdr:col>
      <xdr:colOff>236895</xdr:colOff>
      <xdr:row>20</xdr:row>
      <xdr:rowOff>165904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8AD06EA3-7C54-4572-9C54-B8AE005D1952}"/>
            </a:ext>
          </a:extLst>
        </xdr:cNvPr>
        <xdr:cNvGrpSpPr/>
      </xdr:nvGrpSpPr>
      <xdr:grpSpPr>
        <a:xfrm>
          <a:off x="12963524" y="2609850"/>
          <a:ext cx="1294171" cy="1366054"/>
          <a:chOff x="13096874" y="2609850"/>
          <a:chExt cx="1294171" cy="1366054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AAB6A559-0D9C-46E1-BD86-D7962860249F}"/>
              </a:ext>
            </a:extLst>
          </xdr:cNvPr>
          <xdr:cNvGrpSpPr/>
        </xdr:nvGrpSpPr>
        <xdr:grpSpPr>
          <a:xfrm>
            <a:off x="13144499" y="2609850"/>
            <a:ext cx="1181101" cy="1019175"/>
            <a:chOff x="13144499" y="2609850"/>
            <a:chExt cx="1028701" cy="1019175"/>
          </a:xfrm>
        </xdr:grpSpPr>
        <xdr:graphicFrame macro="">
          <xdr:nvGraphicFramePr>
            <xdr:cNvPr id="83" name="Chart 82">
              <a:extLst>
                <a:ext uri="{FF2B5EF4-FFF2-40B4-BE49-F238E27FC236}">
                  <a16:creationId xmlns:a16="http://schemas.microsoft.com/office/drawing/2014/main" id="{464C820C-56A1-4980-BC49-A6AAB98F1944}"/>
                </a:ext>
              </a:extLst>
            </xdr:cNvPr>
            <xdr:cNvGraphicFramePr>
              <a:graphicFrameLocks/>
            </xdr:cNvGraphicFramePr>
          </xdr:nvGraphicFramePr>
          <xdr:xfrm>
            <a:off x="13144499" y="2609850"/>
            <a:ext cx="1028701" cy="10191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  <xdr:sp macro="" textlink="Analysis_01!AR22">
          <xdr:nvSpPr>
            <xdr:cNvPr id="94" name="TextBox 93">
              <a:extLst>
                <a:ext uri="{FF2B5EF4-FFF2-40B4-BE49-F238E27FC236}">
                  <a16:creationId xmlns:a16="http://schemas.microsoft.com/office/drawing/2014/main" id="{B14A2B64-82EB-4C89-9767-0BC408EB11AF}"/>
                </a:ext>
              </a:extLst>
            </xdr:cNvPr>
            <xdr:cNvSpPr txBox="1"/>
          </xdr:nvSpPr>
          <xdr:spPr>
            <a:xfrm>
              <a:off x="13344526" y="3000374"/>
              <a:ext cx="658741" cy="2854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37D28488-7B35-40DF-8AF8-74BC39156337}" type="TxLink">
                <a:rPr lang="en-US" sz="2000" b="1" i="0" u="none" strike="noStrike">
                  <a:solidFill>
                    <a:schemeClr val="bg1">
                      <a:lumMod val="85000"/>
                    </a:schemeClr>
                  </a:solidFill>
                  <a:latin typeface="Calibri"/>
                  <a:cs typeface="Calibri"/>
                </a:rPr>
                <a:pPr algn="ctr"/>
                <a:t>35%</a:t>
              </a:fld>
              <a:endParaRPr lang="en-US" sz="4000" b="1">
                <a:solidFill>
                  <a:schemeClr val="bg1">
                    <a:lumMod val="85000"/>
                  </a:schemeClr>
                </a:solidFill>
              </a:endParaRPr>
            </a:p>
          </xdr:txBody>
        </xdr:sp>
      </xdr:grpSp>
      <xdr:sp macro="" textlink="Analysis_01!AT22">
        <xdr:nvSpPr>
          <xdr:cNvPr id="107" name="TextBox 106">
            <a:extLst>
              <a:ext uri="{FF2B5EF4-FFF2-40B4-BE49-F238E27FC236}">
                <a16:creationId xmlns:a16="http://schemas.microsoft.com/office/drawing/2014/main" id="{374C6941-93F8-4446-9244-70D8F71D1DD9}"/>
              </a:ext>
            </a:extLst>
          </xdr:cNvPr>
          <xdr:cNvSpPr txBox="1"/>
        </xdr:nvSpPr>
        <xdr:spPr>
          <a:xfrm>
            <a:off x="13201650" y="3695699"/>
            <a:ext cx="113224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0FFFF346-0CCD-4082-9ECB-E941E3A85D50}" type="TxLink">
              <a:rPr lang="en-US" sz="1100" b="1" i="0" u="none" strike="noStrike">
                <a:solidFill>
                  <a:schemeClr val="bg1">
                    <a:lumMod val="85000"/>
                  </a:schemeClr>
                </a:solidFill>
                <a:latin typeface="Calibri"/>
                <a:cs typeface="Calibri"/>
              </a:rPr>
              <a:t>29Total Buses</a:t>
            </a:fld>
            <a:endParaRPr lang="en-US" sz="2000" b="1">
              <a:solidFill>
                <a:schemeClr val="bg1">
                  <a:lumMod val="85000"/>
                </a:schemeClr>
              </a:solidFill>
            </a:endParaRPr>
          </a:p>
        </xdr:txBody>
      </xdr:sp>
      <xdr:sp macro="" textlink="Analysis_01!AP22">
        <xdr:nvSpPr>
          <xdr:cNvPr id="110" name="TextBox 109">
            <a:extLst>
              <a:ext uri="{FF2B5EF4-FFF2-40B4-BE49-F238E27FC236}">
                <a16:creationId xmlns:a16="http://schemas.microsoft.com/office/drawing/2014/main" id="{3F1E38A0-0215-46D7-9FD6-35DA71CB07A1}"/>
              </a:ext>
            </a:extLst>
          </xdr:cNvPr>
          <xdr:cNvSpPr txBox="1"/>
        </xdr:nvSpPr>
        <xdr:spPr>
          <a:xfrm>
            <a:off x="13096874" y="3476624"/>
            <a:ext cx="1294171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99DCD4A3-0952-483F-A32F-A441BB3247C6}" type="TxLink">
              <a:rPr lang="en-US" sz="1400" b="1" i="0" u="none" strike="noStrike">
                <a:solidFill>
                  <a:schemeClr val="bg1">
                    <a:lumMod val="85000"/>
                  </a:schemeClr>
                </a:solidFill>
                <a:latin typeface="Calibri"/>
                <a:cs typeface="Calibri"/>
              </a:rPr>
              <a:t>Well-Utilized</a:t>
            </a:fld>
            <a:endParaRPr lang="en-US" sz="2800" b="1">
              <a:solidFill>
                <a:schemeClr val="bg1">
                  <a:lumMod val="85000"/>
                </a:schemeClr>
              </a:solidFill>
            </a:endParaRPr>
          </a:p>
        </xdr:txBody>
      </xdr:sp>
    </xdr:grpSp>
    <xdr:clientData/>
  </xdr:twoCellAnchor>
  <xdr:twoCellAnchor>
    <xdr:from>
      <xdr:col>20</xdr:col>
      <xdr:colOff>114300</xdr:colOff>
      <xdr:row>22</xdr:row>
      <xdr:rowOff>66674</xdr:rowOff>
    </xdr:from>
    <xdr:to>
      <xdr:col>24</xdr:col>
      <xdr:colOff>304800</xdr:colOff>
      <xdr:row>24</xdr:row>
      <xdr:rowOff>47625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34CDF497-E19A-463E-AC8E-B9EE29AB60AF}"/>
            </a:ext>
          </a:extLst>
        </xdr:cNvPr>
        <xdr:cNvGrpSpPr/>
      </xdr:nvGrpSpPr>
      <xdr:grpSpPr>
        <a:xfrm>
          <a:off x="12306300" y="4257674"/>
          <a:ext cx="2628900" cy="361951"/>
          <a:chOff x="4200525" y="2085974"/>
          <a:chExt cx="4276725" cy="295275"/>
        </a:xfrm>
      </xdr:grpSpPr>
      <xdr:sp macro="" textlink="">
        <xdr:nvSpPr>
          <xdr:cNvPr id="115" name="TextBox 114">
            <a:extLst>
              <a:ext uri="{FF2B5EF4-FFF2-40B4-BE49-F238E27FC236}">
                <a16:creationId xmlns:a16="http://schemas.microsoft.com/office/drawing/2014/main" id="{78BF38E2-F307-42A0-AEA9-20B0A85CB644}"/>
              </a:ext>
            </a:extLst>
          </xdr:cNvPr>
          <xdr:cNvSpPr txBox="1"/>
        </xdr:nvSpPr>
        <xdr:spPr>
          <a:xfrm>
            <a:off x="4352924" y="2085974"/>
            <a:ext cx="4124326" cy="2952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r>
              <a:rPr lang="en-US" sz="1000" b="1">
                <a:solidFill>
                  <a:schemeClr val="bg1">
                    <a:lumMod val="85000"/>
                  </a:schemeClr>
                </a:solidFill>
              </a:rPr>
              <a:t>Total</a:t>
            </a:r>
            <a:r>
              <a:rPr lang="en-US" sz="1000" b="1" baseline="0">
                <a:solidFill>
                  <a:schemeClr val="bg1">
                    <a:lumMod val="85000"/>
                  </a:schemeClr>
                </a:solidFill>
              </a:rPr>
              <a:t> Rider Buses on the Movement of Trip</a:t>
            </a:r>
            <a:endParaRPr lang="en-US" sz="1000" b="1">
              <a:solidFill>
                <a:schemeClr val="bg1">
                  <a:lumMod val="85000"/>
                </a:schemeClr>
              </a:solidFill>
            </a:endParaRPr>
          </a:p>
        </xdr:txBody>
      </xdr:sp>
      <xdr:sp macro="" textlink="">
        <xdr:nvSpPr>
          <xdr:cNvPr id="116" name="Oval 115">
            <a:extLst>
              <a:ext uri="{FF2B5EF4-FFF2-40B4-BE49-F238E27FC236}">
                <a16:creationId xmlns:a16="http://schemas.microsoft.com/office/drawing/2014/main" id="{43E227CE-F5D1-40C2-8D32-F0AEBAE9171A}"/>
              </a:ext>
            </a:extLst>
          </xdr:cNvPr>
          <xdr:cNvSpPr/>
        </xdr:nvSpPr>
        <xdr:spPr>
          <a:xfrm>
            <a:off x="4200525" y="2171701"/>
            <a:ext cx="268494" cy="114300"/>
          </a:xfrm>
          <a:prstGeom prst="ellipse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</xdr:grpSp>
    <xdr:clientData/>
  </xdr:twoCellAnchor>
  <xdr:twoCellAnchor>
    <xdr:from>
      <xdr:col>20</xdr:col>
      <xdr:colOff>200025</xdr:colOff>
      <xdr:row>21</xdr:row>
      <xdr:rowOff>95250</xdr:rowOff>
    </xdr:from>
    <xdr:to>
      <xdr:col>24</xdr:col>
      <xdr:colOff>76200</xdr:colOff>
      <xdr:row>21</xdr:row>
      <xdr:rowOff>95250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E1B41BDA-2A6D-44F2-9B2B-E2D611F41E03}"/>
            </a:ext>
          </a:extLst>
        </xdr:cNvPr>
        <xdr:cNvCxnSpPr/>
      </xdr:nvCxnSpPr>
      <xdr:spPr>
        <a:xfrm>
          <a:off x="12392025" y="4095750"/>
          <a:ext cx="2314575" cy="0"/>
        </a:xfrm>
        <a:prstGeom prst="line">
          <a:avLst/>
        </a:prstGeom>
        <a:ln w="63500">
          <a:gradFill flip="none" rotWithShape="1">
            <a:gsLst>
              <a:gs pos="0">
                <a:schemeClr val="tx1"/>
              </a:gs>
              <a:gs pos="42000">
                <a:schemeClr val="bg1">
                  <a:lumMod val="50000"/>
                </a:schemeClr>
              </a:gs>
              <a:gs pos="65000">
                <a:schemeClr val="bg1">
                  <a:lumMod val="50000"/>
                </a:schemeClr>
              </a:gs>
              <a:gs pos="100000">
                <a:schemeClr val="tx1"/>
              </a:gs>
            </a:gsLst>
            <a:lin ang="0" scaled="0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498.872596064815" createdVersion="6" refreshedVersion="6" minRefreshableVersion="3" recordCount="0" supportSubquery="1" supportAdvancedDrill="1" xr:uid="{591F3041-4A29-4B86-BBED-161DAEA621B7}">
  <cacheSource type="external" connectionId="7"/>
  <cacheFields count="3">
    <cacheField name="[Measures].[Count of Occupation]" caption="Count of Occupation" numFmtId="0" hierarchy="45" level="32767"/>
    <cacheField name="[Measures].[Count of Age]" caption="Count of Age" numFmtId="0" hierarchy="46" level="32767"/>
    <cacheField name="[Measures].[Average Age]" caption="Average Age" numFmtId="0" hierarchy="54" level="32767"/>
  </cacheFields>
  <cacheHierarchies count="65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type]" caption="Weektype" attribute="1" defaultMemberUniqueName="[Dim_DateTable].[Weektype].[All]" allUniqueName="[Dim_DateTable].[Week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 group]" caption="Age group" attribute="1" defaultMemberUniqueName="[Dim_demographics].[Age group].[All]" allUniqueName="[Dim_demographics].[Age 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0" memberValueDatatype="130" unbalanced="0"/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0" memberValueDatatype="7" unbalanced="0"/>
    <cacheHierarchy uniqueName="[Facttable_ridership].[Operation movement]" caption="Operation movement" attribute="1" defaultMemberUniqueName="[Facttable_ridership].[Operation movement].[All]" allUniqueName="[Facttable_ridership].[Operation move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Last Characters]" caption="Last Characters" attribute="1" defaultMemberUniqueName="[Facttable_ridership].[Last Characters].[All]" allUniqueName="[Facttable_ridership].[Last Characters].[All]" dimensionUniqueName="[Facttable_ridership]" displayFolder="" count="0" memberValueDatatype="13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0" memberValueDatatype="130" unbalanced="0"/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Date (Year)]" caption="Date (Year)" attribute="1" defaultMemberUniqueName="[Facttable_ridership].[Date (Year)].[All]" allUniqueName="[Facttable_ridership].[Date (Year)].[All]" dimensionUniqueName="[Facttable_ridership]" displayFolder="" count="0" memberValueDatatype="130" unbalanced="0"/>
    <cacheHierarchy uniqueName="[Facttable_ridership].[Date (Quarter)]" caption="Date (Quarter)" attribute="1" defaultMemberUniqueName="[Facttable_ridership].[Date (Quarter)].[All]" allUniqueName="[Facttable_ridership].[Date (Quarter)].[All]" dimensionUniqueName="[Facttable_ridership]" displayFolder="" count="0" memberValueDatatype="130" unbalanced="0"/>
    <cacheHierarchy uniqueName="[Facttable_ridership].[Date (Month)]" caption="Date (Month)" attribute="1" defaultMemberUniqueName="[Facttable_ridership].[Date (Month)].[All]" allUniqueName="[Facttable_ridership].[Date (Month)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Facttable_ridership].[Date (Month Index)]" caption="Date (Month Index)" attribute="1" defaultMemberUniqueName="[Facttable_ridership].[Date (Month Index)].[All]" allUniqueName="[Facttable_ridership].[Date (Month Index)].[All]" dimensionUniqueName="[Facttable_ridership]" displayFolder="" count="0" memberValueDatatype="20" unbalanced="0" hidden="1"/>
    <cacheHierarchy uniqueName="[Measures].[Count of Date]" caption="Count of Date" measure="1" displayFolder="" measureGroup="Dim_DateTabl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Date 2]" caption="Count of Date 2" measure="1" displayFolder="" measureGroup="Facttable_ridership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Age]" caption="Sum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ccupation]" caption="Count of Occupation" measure="1" displayFolder="" measureGroup="Dim_demographics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Age]" caption="Count of Age" measure="1" displayFolder="" measureGroup="Dim_demographic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BusID]" caption="Sum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BusID]" caption="Count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sID 2]" caption="Sum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BusID 2]" caption="Count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NumberOfRiders]" caption="Sum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Average of NumberOfRiders]" caption="Average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TotalTransaction]" caption="TotalTransaction" measure="1" displayFolder="" measureGroup="Calculations" count="0"/>
    <cacheHierarchy uniqueName="[Measures].[Average Age]" caption="Average Age" measure="1" displayFolder="" measureGroup="Calculations" count="0" oneField="1">
      <fieldsUsage count="1">
        <fieldUsage x="2"/>
      </fieldsUsage>
    </cacheHierarchy>
    <cacheHierarchy uniqueName="[Measures].[Total Rider (Passanger)]" caption="Total Rider (Passanger)" measure="1" displayFolder="" measureGroup="Calculations" count="0"/>
    <cacheHierarchy uniqueName="[Measures].[Avg Ride Per Trip]" caption="Avg Ride Per Trip" measure="1" displayFolder="" measureGroup="Calculations" count="0"/>
    <cacheHierarchy uniqueName="[Measures].[Total Buses]" caption="Total Buses" measure="1" displayFolder="" measureGroup="Dim_buses" count="0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DateTable]" caption="__XL_Count Dim_DateTable" measure="1" displayFolder="" measureGroup="Dim_DateTable" count="0" hidden="1"/>
    <cacheHierarchy uniqueName="[Measures].[__XL_Count Calculations]" caption="__XL_Count Calculations" measure="1" displayFolder="" measureGroup="Calculations" count="0" hidden="1"/>
    <cacheHierarchy uniqueName="[Measures].[__No measures defined]" caption="__No measures defined" measure="1" displayFolder="" count="0" hidden="1"/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0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498.872597569447" createdVersion="6" refreshedVersion="6" minRefreshableVersion="3" recordCount="0" supportSubquery="1" supportAdvancedDrill="1" xr:uid="{69C55B1A-6AA9-4F34-B79A-EFFA31ADB43E}">
  <cacheSource type="external" connectionId="7"/>
  <cacheFields count="2">
    <cacheField name="[Measures].[Total Rider (Passanger)]" caption="Total Rider (Passanger)" numFmtId="0" hierarchy="55" level="32767"/>
    <cacheField name="[Facttable_ridership].[Time Group].[Time Group]" caption="Time Group" numFmtId="0" hierarchy="32" level="1">
      <sharedItems count="3">
        <s v="10AM-3PM"/>
        <s v="12AM-5AM"/>
        <s v="5AM-10AM"/>
      </sharedItems>
    </cacheField>
  </cacheFields>
  <cacheHierarchies count="65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type]" caption="Weektype" attribute="1" defaultMemberUniqueName="[Dim_DateTable].[Weektype].[All]" allUniqueName="[Dim_DateTable].[Week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 group]" caption="Age group" attribute="1" defaultMemberUniqueName="[Dim_demographics].[Age group].[All]" allUniqueName="[Dim_demographics].[Age 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0" memberValueDatatype="130" unbalanced="0"/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0" memberValueDatatype="7" unbalanced="0"/>
    <cacheHierarchy uniqueName="[Facttable_ridership].[Operation movement]" caption="Operation movement" attribute="1" defaultMemberUniqueName="[Facttable_ridership].[Operation movement].[All]" allUniqueName="[Facttable_ridership].[Operation move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Last Characters]" caption="Last Characters" attribute="1" defaultMemberUniqueName="[Facttable_ridership].[Last Characters].[All]" allUniqueName="[Facttable_ridership].[Last Characters].[All]" dimensionUniqueName="[Facttable_ridership]" displayFolder="" count="0" memberValueDatatype="13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2" memberValueDatatype="130" unbalanced="0">
      <fieldsUsage count="2">
        <fieldUsage x="-1"/>
        <fieldUsage x="1"/>
      </fieldsUsage>
    </cacheHierarchy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Date (Year)]" caption="Date (Year)" attribute="1" defaultMemberUniqueName="[Facttable_ridership].[Date (Year)].[All]" allUniqueName="[Facttable_ridership].[Date (Year)].[All]" dimensionUniqueName="[Facttable_ridership]" displayFolder="" count="0" memberValueDatatype="130" unbalanced="0"/>
    <cacheHierarchy uniqueName="[Facttable_ridership].[Date (Quarter)]" caption="Date (Quarter)" attribute="1" defaultMemberUniqueName="[Facttable_ridership].[Date (Quarter)].[All]" allUniqueName="[Facttable_ridership].[Date (Quarter)].[All]" dimensionUniqueName="[Facttable_ridership]" displayFolder="" count="0" memberValueDatatype="130" unbalanced="0"/>
    <cacheHierarchy uniqueName="[Facttable_ridership].[Date (Month)]" caption="Date (Month)" attribute="1" defaultMemberUniqueName="[Facttable_ridership].[Date (Month)].[All]" allUniqueName="[Facttable_ridership].[Date (Month)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Facttable_ridership].[Date (Month Index)]" caption="Date (Month Index)" attribute="1" defaultMemberUniqueName="[Facttable_ridership].[Date (Month Index)].[All]" allUniqueName="[Facttable_ridership].[Date (Month Index)].[All]" dimensionUniqueName="[Facttable_ridership]" displayFolder="" count="0" memberValueDatatype="20" unbalanced="0" hidden="1"/>
    <cacheHierarchy uniqueName="[Measures].[Count of Date]" caption="Count of Date" measure="1" displayFolder="" measureGroup="Dim_DateTabl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Date 2]" caption="Count of Date 2" measure="1" displayFolder="" measureGroup="Facttable_ridership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Age]" caption="Sum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ccupation]" caption="Count of Occupation" measure="1" displayFolder="" measureGroup="Dim_demographic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Age]" caption="Count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BusID]" caption="Sum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BusID]" caption="Count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sID 2]" caption="Sum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BusID 2]" caption="Count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NumberOfRiders]" caption="Sum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Average of NumberOfRiders]" caption="Average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TotalTransaction]" caption="Total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 (Passanger)]" caption="Total Rider (Passanger)" measure="1" displayFolder="" measureGroup="Calculations" count="0" oneField="1">
      <fieldsUsage count="1">
        <fieldUsage x="0"/>
      </fieldsUsage>
    </cacheHierarchy>
    <cacheHierarchy uniqueName="[Measures].[Avg Ride Per Trip]" caption="Avg Ride Per Trip" measure="1" displayFolder="" measureGroup="Calculations" count="0"/>
    <cacheHierarchy uniqueName="[Measures].[Total Buses]" caption="Total Buses" measure="1" displayFolder="" measureGroup="Dim_buses" count="0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DateTable]" caption="__XL_Count Dim_DateTable" measure="1" displayFolder="" measureGroup="Dim_DateTable" count="0" hidden="1"/>
    <cacheHierarchy uniqueName="[Measures].[__XL_Count Calculations]" caption="__XL_Count Calculations" measure="1" displayFolder="" measureGroup="Calculations" count="0" hidden="1"/>
    <cacheHierarchy uniqueName="[Measures].[__No measures defined]" caption="__No measures defined" measure="1" displayFolder="" count="0" hidden="1"/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0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498.872599074071" createdVersion="6" refreshedVersion="6" minRefreshableVersion="3" recordCount="0" supportSubquery="1" supportAdvancedDrill="1" xr:uid="{D37BB6AD-5684-4077-9596-39CFC8BA84AD}">
  <cacheSource type="external" connectionId="7"/>
  <cacheFields count="2">
    <cacheField name="[Dim_routes].[RouteName].[RouteName]" caption="RouteName" numFmtId="0" hierarchy="18" level="1">
      <sharedItems count="1">
        <s v="South Line"/>
      </sharedItems>
    </cacheField>
    <cacheField name="[Measures].[Total Rider (Passanger)]" caption="Total Rider (Passanger)" numFmtId="0" hierarchy="55" level="32767"/>
  </cacheFields>
  <cacheHierarchies count="65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type]" caption="Weektype" attribute="1" defaultMemberUniqueName="[Dim_DateTable].[Weektype].[All]" allUniqueName="[Dim_DateTable].[Week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 group]" caption="Age group" attribute="1" defaultMemberUniqueName="[Dim_demographics].[Age group].[All]" allUniqueName="[Dim_demographics].[Age 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2" memberValueDatatype="130" unbalanced="0">
      <fieldsUsage count="2">
        <fieldUsage x="-1"/>
        <fieldUsage x="0"/>
      </fieldsUsage>
    </cacheHierarchy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0" memberValueDatatype="7" unbalanced="0"/>
    <cacheHierarchy uniqueName="[Facttable_ridership].[Operation movement]" caption="Operation movement" attribute="1" defaultMemberUniqueName="[Facttable_ridership].[Operation movement].[All]" allUniqueName="[Facttable_ridership].[Operation move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Last Characters]" caption="Last Characters" attribute="1" defaultMemberUniqueName="[Facttable_ridership].[Last Characters].[All]" allUniqueName="[Facttable_ridership].[Last Characters].[All]" dimensionUniqueName="[Facttable_ridership]" displayFolder="" count="0" memberValueDatatype="13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0" memberValueDatatype="130" unbalanced="0"/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Date (Year)]" caption="Date (Year)" attribute="1" defaultMemberUniqueName="[Facttable_ridership].[Date (Year)].[All]" allUniqueName="[Facttable_ridership].[Date (Year)].[All]" dimensionUniqueName="[Facttable_ridership]" displayFolder="" count="0" memberValueDatatype="130" unbalanced="0"/>
    <cacheHierarchy uniqueName="[Facttable_ridership].[Date (Quarter)]" caption="Date (Quarter)" attribute="1" defaultMemberUniqueName="[Facttable_ridership].[Date (Quarter)].[All]" allUniqueName="[Facttable_ridership].[Date (Quarter)].[All]" dimensionUniqueName="[Facttable_ridership]" displayFolder="" count="0" memberValueDatatype="130" unbalanced="0"/>
    <cacheHierarchy uniqueName="[Facttable_ridership].[Date (Month)]" caption="Date (Month)" attribute="1" defaultMemberUniqueName="[Facttable_ridership].[Date (Month)].[All]" allUniqueName="[Facttable_ridership].[Date (Month)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Facttable_ridership].[Date (Month Index)]" caption="Date (Month Index)" attribute="1" defaultMemberUniqueName="[Facttable_ridership].[Date (Month Index)].[All]" allUniqueName="[Facttable_ridership].[Date (Month Index)].[All]" dimensionUniqueName="[Facttable_ridership]" displayFolder="" count="0" memberValueDatatype="20" unbalanced="0" hidden="1"/>
    <cacheHierarchy uniqueName="[Measures].[Count of Date]" caption="Count of Date" measure="1" displayFolder="" measureGroup="Dim_DateTabl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Date 2]" caption="Count of Date 2" measure="1" displayFolder="" measureGroup="Facttable_ridership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Age]" caption="Sum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ccupation]" caption="Count of Occupation" measure="1" displayFolder="" measureGroup="Dim_demographic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Age]" caption="Count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BusID]" caption="Sum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BusID]" caption="Count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sID 2]" caption="Sum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BusID 2]" caption="Count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NumberOfRiders]" caption="Sum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Average of NumberOfRiders]" caption="Average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TotalTransaction]" caption="Total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 (Passanger)]" caption="Total Rider (Passanger)" measure="1" displayFolder="" measureGroup="Calculations" count="0" oneField="1">
      <fieldsUsage count="1">
        <fieldUsage x="1"/>
      </fieldsUsage>
    </cacheHierarchy>
    <cacheHierarchy uniqueName="[Measures].[Avg Ride Per Trip]" caption="Avg Ride Per Trip" measure="1" displayFolder="" measureGroup="Calculations" count="0"/>
    <cacheHierarchy uniqueName="[Measures].[Total Buses]" caption="Total Buses" measure="1" displayFolder="" measureGroup="Dim_buses" count="0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DateTable]" caption="__XL_Count Dim_DateTable" measure="1" displayFolder="" measureGroup="Dim_DateTable" count="0" hidden="1"/>
    <cacheHierarchy uniqueName="[Measures].[__XL_Count Calculations]" caption="__XL_Count Calculations" measure="1" displayFolder="" measureGroup="Calculations" count="0" hidden="1"/>
    <cacheHierarchy uniqueName="[Measures].[__No measures defined]" caption="__No measures defined" measure="1" displayFolder="" count="0" hidden="1"/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0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498.872600694442" createdVersion="6" refreshedVersion="6" minRefreshableVersion="3" recordCount="0" supportSubquery="1" supportAdvancedDrill="1" xr:uid="{03D4F644-89DB-4140-BED7-97C8B1ED4F8A}">
  <cacheSource type="external" connectionId="7"/>
  <cacheFields count="2">
    <cacheField name="[Dim_routes].[RouteName].[RouteName]" caption="RouteName" numFmtId="0" hierarchy="18" level="1">
      <sharedItems count="1">
        <s v="East-West Express"/>
      </sharedItems>
    </cacheField>
    <cacheField name="[Measures].[Total Rider (Passanger)]" caption="Total Rider (Passanger)" numFmtId="0" hierarchy="55" level="32767"/>
  </cacheFields>
  <cacheHierarchies count="65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type]" caption="Weektype" attribute="1" defaultMemberUniqueName="[Dim_DateTable].[Weektype].[All]" allUniqueName="[Dim_DateTable].[Week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 group]" caption="Age group" attribute="1" defaultMemberUniqueName="[Dim_demographics].[Age group].[All]" allUniqueName="[Dim_demographics].[Age 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2" memberValueDatatype="130" unbalanced="0">
      <fieldsUsage count="2">
        <fieldUsage x="-1"/>
        <fieldUsage x="0"/>
      </fieldsUsage>
    </cacheHierarchy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0" memberValueDatatype="7" unbalanced="0"/>
    <cacheHierarchy uniqueName="[Facttable_ridership].[Operation movement]" caption="Operation movement" attribute="1" defaultMemberUniqueName="[Facttable_ridership].[Operation movement].[All]" allUniqueName="[Facttable_ridership].[Operation move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Last Characters]" caption="Last Characters" attribute="1" defaultMemberUniqueName="[Facttable_ridership].[Last Characters].[All]" allUniqueName="[Facttable_ridership].[Last Characters].[All]" dimensionUniqueName="[Facttable_ridership]" displayFolder="" count="0" memberValueDatatype="13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0" memberValueDatatype="130" unbalanced="0"/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Date (Year)]" caption="Date (Year)" attribute="1" defaultMemberUniqueName="[Facttable_ridership].[Date (Year)].[All]" allUniqueName="[Facttable_ridership].[Date (Year)].[All]" dimensionUniqueName="[Facttable_ridership]" displayFolder="" count="0" memberValueDatatype="130" unbalanced="0"/>
    <cacheHierarchy uniqueName="[Facttable_ridership].[Date (Quarter)]" caption="Date (Quarter)" attribute="1" defaultMemberUniqueName="[Facttable_ridership].[Date (Quarter)].[All]" allUniqueName="[Facttable_ridership].[Date (Quarter)].[All]" dimensionUniqueName="[Facttable_ridership]" displayFolder="" count="0" memberValueDatatype="130" unbalanced="0"/>
    <cacheHierarchy uniqueName="[Facttable_ridership].[Date (Month)]" caption="Date (Month)" attribute="1" defaultMemberUniqueName="[Facttable_ridership].[Date (Month)].[All]" allUniqueName="[Facttable_ridership].[Date (Month)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Facttable_ridership].[Date (Month Index)]" caption="Date (Month Index)" attribute="1" defaultMemberUniqueName="[Facttable_ridership].[Date (Month Index)].[All]" allUniqueName="[Facttable_ridership].[Date (Month Index)].[All]" dimensionUniqueName="[Facttable_ridership]" displayFolder="" count="0" memberValueDatatype="20" unbalanced="0" hidden="1"/>
    <cacheHierarchy uniqueName="[Measures].[Count of Date]" caption="Count of Date" measure="1" displayFolder="" measureGroup="Dim_DateTabl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Date 2]" caption="Count of Date 2" measure="1" displayFolder="" measureGroup="Facttable_ridership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Age]" caption="Sum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ccupation]" caption="Count of Occupation" measure="1" displayFolder="" measureGroup="Dim_demographic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Age]" caption="Count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BusID]" caption="Sum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BusID]" caption="Count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sID 2]" caption="Sum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BusID 2]" caption="Count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NumberOfRiders]" caption="Sum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Average of NumberOfRiders]" caption="Average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TotalTransaction]" caption="Total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 (Passanger)]" caption="Total Rider (Passanger)" measure="1" displayFolder="" measureGroup="Calculations" count="0" oneField="1">
      <fieldsUsage count="1">
        <fieldUsage x="1"/>
      </fieldsUsage>
    </cacheHierarchy>
    <cacheHierarchy uniqueName="[Measures].[Avg Ride Per Trip]" caption="Avg Ride Per Trip" measure="1" displayFolder="" measureGroup="Calculations" count="0"/>
    <cacheHierarchy uniqueName="[Measures].[Total Buses]" caption="Total Buses" measure="1" displayFolder="" measureGroup="Dim_buses" count="0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DateTable]" caption="__XL_Count Dim_DateTable" measure="1" displayFolder="" measureGroup="Dim_DateTable" count="0" hidden="1"/>
    <cacheHierarchy uniqueName="[Measures].[__XL_Count Calculations]" caption="__XL_Count Calculations" measure="1" displayFolder="" measureGroup="Calculations" count="0" hidden="1"/>
    <cacheHierarchy uniqueName="[Measures].[__No measures defined]" caption="__No measures defined" measure="1" displayFolder="" count="0" hidden="1"/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0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498.872602199073" createdVersion="6" refreshedVersion="6" minRefreshableVersion="3" recordCount="0" supportSubquery="1" supportAdvancedDrill="1" xr:uid="{39361808-9A13-4AF1-93C4-609E2C87F05F}">
  <cacheSource type="external" connectionId="7"/>
  <cacheFields count="2">
    <cacheField name="[Measures].[Avg Ride Per Trip]" caption="Avg Ride Per Trip" numFmtId="0" hierarchy="56" level="32767"/>
    <cacheField name="[Measures].[Total Rider (Passanger)]" caption="Total Rider (Passanger)" numFmtId="0" hierarchy="55" level="32767"/>
  </cacheFields>
  <cacheHierarchies count="65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type]" caption="Weektype" attribute="1" defaultMemberUniqueName="[Dim_DateTable].[Weektype].[All]" allUniqueName="[Dim_DateTable].[Week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 group]" caption="Age group" attribute="1" defaultMemberUniqueName="[Dim_demographics].[Age group].[All]" allUniqueName="[Dim_demographics].[Age 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0" memberValueDatatype="130" unbalanced="0"/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0" memberValueDatatype="7" unbalanced="0"/>
    <cacheHierarchy uniqueName="[Facttable_ridership].[Operation movement]" caption="Operation movement" attribute="1" defaultMemberUniqueName="[Facttable_ridership].[Operation movement].[All]" allUniqueName="[Facttable_ridership].[Operation move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Last Characters]" caption="Last Characters" attribute="1" defaultMemberUniqueName="[Facttable_ridership].[Last Characters].[All]" allUniqueName="[Facttable_ridership].[Last Characters].[All]" dimensionUniqueName="[Facttable_ridership]" displayFolder="" count="0" memberValueDatatype="13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0" memberValueDatatype="130" unbalanced="0"/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Date (Year)]" caption="Date (Year)" attribute="1" defaultMemberUniqueName="[Facttable_ridership].[Date (Year)].[All]" allUniqueName="[Facttable_ridership].[Date (Year)].[All]" dimensionUniqueName="[Facttable_ridership]" displayFolder="" count="0" memberValueDatatype="130" unbalanced="0"/>
    <cacheHierarchy uniqueName="[Facttable_ridership].[Date (Quarter)]" caption="Date (Quarter)" attribute="1" defaultMemberUniqueName="[Facttable_ridership].[Date (Quarter)].[All]" allUniqueName="[Facttable_ridership].[Date (Quarter)].[All]" dimensionUniqueName="[Facttable_ridership]" displayFolder="" count="0" memberValueDatatype="130" unbalanced="0"/>
    <cacheHierarchy uniqueName="[Facttable_ridership].[Date (Month)]" caption="Date (Month)" attribute="1" defaultMemberUniqueName="[Facttable_ridership].[Date (Month)].[All]" allUniqueName="[Facttable_ridership].[Date (Month)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Facttable_ridership].[Date (Month Index)]" caption="Date (Month Index)" attribute="1" defaultMemberUniqueName="[Facttable_ridership].[Date (Month Index)].[All]" allUniqueName="[Facttable_ridership].[Date (Month Index)].[All]" dimensionUniqueName="[Facttable_ridership]" displayFolder="" count="0" memberValueDatatype="20" unbalanced="0" hidden="1"/>
    <cacheHierarchy uniqueName="[Measures].[Count of Date]" caption="Count of Date" measure="1" displayFolder="" measureGroup="Dim_DateTabl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Date 2]" caption="Count of Date 2" measure="1" displayFolder="" measureGroup="Facttable_ridership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Age]" caption="Sum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ccupation]" caption="Count of Occupation" measure="1" displayFolder="" measureGroup="Dim_demographic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Age]" caption="Count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BusID]" caption="Sum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BusID]" caption="Count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sID 2]" caption="Sum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BusID 2]" caption="Count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NumberOfRiders]" caption="Sum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Average of NumberOfRiders]" caption="Average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TotalTransaction]" caption="Total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 (Passanger)]" caption="Total Rider (Passanger)" measure="1" displayFolder="" measureGroup="Calculations" count="0" oneField="1">
      <fieldsUsage count="1">
        <fieldUsage x="1"/>
      </fieldsUsage>
    </cacheHierarchy>
    <cacheHierarchy uniqueName="[Measures].[Avg Ride Per Trip]" caption="Avg Ride Per Trip" measure="1" displayFolder="" measureGroup="Calculations" count="0" oneField="1">
      <fieldsUsage count="1">
        <fieldUsage x="0"/>
      </fieldsUsage>
    </cacheHierarchy>
    <cacheHierarchy uniqueName="[Measures].[Total Buses]" caption="Total Buses" measure="1" displayFolder="" measureGroup="Dim_buses" count="0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DateTable]" caption="__XL_Count Dim_DateTable" measure="1" displayFolder="" measureGroup="Dim_DateTable" count="0" hidden="1"/>
    <cacheHierarchy uniqueName="[Measures].[__XL_Count Calculations]" caption="__XL_Count Calculations" measure="1" displayFolder="" measureGroup="Calculations" count="0" hidden="1"/>
    <cacheHierarchy uniqueName="[Measures].[__No measures defined]" caption="__No measures defined" measure="1" displayFolder="" count="0" hidden="1"/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0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498.872604282406" createdVersion="6" refreshedVersion="6" minRefreshableVersion="3" recordCount="0" supportSubquery="1" supportAdvancedDrill="1" xr:uid="{8FE11789-8058-4AE6-BF51-1987C34CB772}">
  <cacheSource type="external" connectionId="7"/>
  <cacheFields count="5">
    <cacheField name="[Measures].[Count of Age]" caption="Count of Age" numFmtId="0" hierarchy="46" level="32767"/>
    <cacheField name="[Measures].[Count of BusID 2]" caption="Count of BusID 2" numFmtId="0" hierarchy="50" level="32767"/>
    <cacheField name="[Measures].[TotalTransaction]" caption="TotalTransaction" numFmtId="0" hierarchy="53" level="32767"/>
    <cacheField name="[Measures].[Average Age]" caption="Average Age" numFmtId="0" hierarchy="54" level="32767"/>
    <cacheField name="[Dim_buses].[BusNumber].[BusNumber]" caption="BusNumber" numFmtId="0" hierarchy="3" level="1">
      <sharedItems count="40">
        <s v="Bus 1"/>
        <s v="Bus 10"/>
        <s v="Bus 11"/>
        <s v="Bus 12"/>
        <s v="Bus 13"/>
        <s v="Bus 14"/>
        <s v="Bus 15"/>
        <s v="Bus 16"/>
        <s v="Bus 17"/>
        <s v="Bus 18"/>
        <s v="Bus 19"/>
        <s v="Bus 2"/>
        <s v="Bus 20"/>
        <s v="Bus 21"/>
        <s v="Bus 22"/>
        <s v="Bus 23"/>
        <s v="Bus 24"/>
        <s v="Bus 25"/>
        <s v="Bus 26"/>
        <s v="Bus 27"/>
        <s v="Bus 28"/>
        <s v="Bus 29"/>
        <s v="Bus 3"/>
        <s v="Bus 30"/>
        <s v="Bus 31"/>
        <s v="Bus 32"/>
        <s v="Bus 33"/>
        <s v="Bus 34"/>
        <s v="Bus 35"/>
        <s v="Bus 36"/>
        <s v="Bus 37"/>
        <s v="Bus 38"/>
        <s v="Bus 39"/>
        <s v="Bus 4"/>
        <s v="Bus 40"/>
        <s v="Bus 5"/>
        <s v="Bus 6"/>
        <s v="Bus 7"/>
        <s v="Bus 8"/>
        <s v="Bus 9"/>
      </sharedItems>
    </cacheField>
  </cacheFields>
  <cacheHierarchies count="65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2" memberValueDatatype="130" unbalanced="0">
      <fieldsUsage count="2">
        <fieldUsage x="-1"/>
        <fieldUsage x="4"/>
      </fieldsUsage>
    </cacheHierarchy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type]" caption="Weektype" attribute="1" defaultMemberUniqueName="[Dim_DateTable].[Weektype].[All]" allUniqueName="[Dim_DateTable].[Week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 group]" caption="Age group" attribute="1" defaultMemberUniqueName="[Dim_demographics].[Age group].[All]" allUniqueName="[Dim_demographics].[Age 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0" memberValueDatatype="130" unbalanced="0"/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0" memberValueDatatype="7" unbalanced="0"/>
    <cacheHierarchy uniqueName="[Facttable_ridership].[Operation movement]" caption="Operation movement" attribute="1" defaultMemberUniqueName="[Facttable_ridership].[Operation movement].[All]" allUniqueName="[Facttable_ridership].[Operation move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Last Characters]" caption="Last Characters" attribute="1" defaultMemberUniqueName="[Facttable_ridership].[Last Characters].[All]" allUniqueName="[Facttable_ridership].[Last Characters].[All]" dimensionUniqueName="[Facttable_ridership]" displayFolder="" count="0" memberValueDatatype="13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0" memberValueDatatype="130" unbalanced="0"/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Date (Year)]" caption="Date (Year)" attribute="1" defaultMemberUniqueName="[Facttable_ridership].[Date (Year)].[All]" allUniqueName="[Facttable_ridership].[Date (Year)].[All]" dimensionUniqueName="[Facttable_ridership]" displayFolder="" count="0" memberValueDatatype="130" unbalanced="0"/>
    <cacheHierarchy uniqueName="[Facttable_ridership].[Date (Quarter)]" caption="Date (Quarter)" attribute="1" defaultMemberUniqueName="[Facttable_ridership].[Date (Quarter)].[All]" allUniqueName="[Facttable_ridership].[Date (Quarter)].[All]" dimensionUniqueName="[Facttable_ridership]" displayFolder="" count="0" memberValueDatatype="130" unbalanced="0"/>
    <cacheHierarchy uniqueName="[Facttable_ridership].[Date (Month)]" caption="Date (Month)" attribute="1" defaultMemberUniqueName="[Facttable_ridership].[Date (Month)].[All]" allUniqueName="[Facttable_ridership].[Date (Month)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Facttable_ridership].[Date (Month Index)]" caption="Date (Month Index)" attribute="1" defaultMemberUniqueName="[Facttable_ridership].[Date (Month Index)].[All]" allUniqueName="[Facttable_ridership].[Date (Month Index)].[All]" dimensionUniqueName="[Facttable_ridership]" displayFolder="" count="0" memberValueDatatype="20" unbalanced="0" hidden="1"/>
    <cacheHierarchy uniqueName="[Measures].[Count of Date]" caption="Count of Date" measure="1" displayFolder="" measureGroup="Dim_DateTabl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Date 2]" caption="Count of Date 2" measure="1" displayFolder="" measureGroup="Facttable_ridership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Age]" caption="Sum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ccupation]" caption="Count of Occupation" measure="1" displayFolder="" measureGroup="Dim_demographic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Age]" caption="Count of Age" measure="1" displayFolder="" measureGroup="Dim_demographics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BusID]" caption="Sum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BusID]" caption="Count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sID 2]" caption="Sum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BusID 2]" caption="Count of BusID 2" measure="1" displayFolder="" measureGroup="Facttable_ridership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NumberOfRiders]" caption="Sum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Average of NumberOfRiders]" caption="Average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TotalTransaction]" caption="TotalTransaction" measure="1" displayFolder="" measureGroup="Calculations" count="0" oneField="1">
      <fieldsUsage count="1">
        <fieldUsage x="2"/>
      </fieldsUsage>
    </cacheHierarchy>
    <cacheHierarchy uniqueName="[Measures].[Average Age]" caption="Average Age" measure="1" displayFolder="" measureGroup="Calculations" count="0" oneField="1">
      <fieldsUsage count="1">
        <fieldUsage x="3"/>
      </fieldsUsage>
    </cacheHierarchy>
    <cacheHierarchy uniqueName="[Measures].[Total Rider (Passanger)]" caption="Total Rider (Passanger)" measure="1" displayFolder="" measureGroup="Calculations" count="0"/>
    <cacheHierarchy uniqueName="[Measures].[Avg Ride Per Trip]" caption="Avg Ride Per Trip" measure="1" displayFolder="" measureGroup="Calculations" count="0"/>
    <cacheHierarchy uniqueName="[Measures].[Total Buses]" caption="Total Buses" measure="1" displayFolder="" measureGroup="Dim_buses" count="0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DateTable]" caption="__XL_Count Dim_DateTable" measure="1" displayFolder="" measureGroup="Dim_DateTable" count="0" hidden="1"/>
    <cacheHierarchy uniqueName="[Measures].[__XL_Count Calculations]" caption="__XL_Count Calculations" measure="1" displayFolder="" measureGroup="Calculations" count="0" hidden="1"/>
    <cacheHierarchy uniqueName="[Measures].[__No measures defined]" caption="__No measures defined" measure="1" displayFolder="" count="0" hidden="1"/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0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498.872606597222" createdVersion="6" refreshedVersion="6" minRefreshableVersion="3" recordCount="0" supportSubquery="1" supportAdvancedDrill="1" xr:uid="{22BC41CF-F1F8-495D-AEA5-2C0ACFA16E0D}">
  <cacheSource type="external" connectionId="7"/>
  <cacheFields count="3">
    <cacheField name="[Measures].[Total Rider (Passanger)]" caption="Total Rider (Passanger)" numFmtId="0" hierarchy="55" level="32767"/>
    <cacheField name="[Facttable_ridership].[Time Group].[Time Group]" caption="Time Group" numFmtId="0" hierarchy="32" level="1">
      <sharedItems count="3">
        <s v="10AM-3PM"/>
        <s v="12AM-5AM"/>
        <s v="5AM-10AM"/>
      </sharedItems>
    </cacheField>
    <cacheField name="[Facttable_ridership].[Time].[Time]" caption="Time" numFmtId="0" hierarchy="27" level="1">
      <sharedItems containsSemiMixedTypes="0" containsNonDate="0" containsDate="1" containsString="0" minDate="1899-12-30T11:41:00" maxDate="1899-12-30T11:41:00" count="1">
        <d v="1899-12-30T11:41:00"/>
      </sharedItems>
      <extLst>
        <ext xmlns:x15="http://schemas.microsoft.com/office/spreadsheetml/2010/11/main" uri="{4F2E5C28-24EA-4eb8-9CBF-B6C8F9C3D259}">
          <x15:cachedUniqueNames>
            <x15:cachedUniqueName index="0" name="[Facttable_ridership].[Time].&amp;[1899-12-30T11:41:00]"/>
          </x15:cachedUniqueNames>
        </ext>
      </extLst>
    </cacheField>
  </cacheFields>
  <cacheHierarchies count="65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type]" caption="Weektype" attribute="1" defaultMemberUniqueName="[Dim_DateTable].[Weektype].[All]" allUniqueName="[Dim_DateTable].[Week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 group]" caption="Age group" attribute="1" defaultMemberUniqueName="[Dim_demographics].[Age group].[All]" allUniqueName="[Dim_demographics].[Age 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0" memberValueDatatype="130" unbalanced="0"/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2" memberValueDatatype="7" unbalanced="0">
      <fieldsUsage count="2">
        <fieldUsage x="-1"/>
        <fieldUsage x="2"/>
      </fieldsUsage>
    </cacheHierarchy>
    <cacheHierarchy uniqueName="[Facttable_ridership].[Operation movement]" caption="Operation movement" attribute="1" defaultMemberUniqueName="[Facttable_ridership].[Operation movement].[All]" allUniqueName="[Facttable_ridership].[Operation move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Last Characters]" caption="Last Characters" attribute="1" defaultMemberUniqueName="[Facttable_ridership].[Last Characters].[All]" allUniqueName="[Facttable_ridership].[Last Characters].[All]" dimensionUniqueName="[Facttable_ridership]" displayFolder="" count="0" memberValueDatatype="13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2" memberValueDatatype="130" unbalanced="0">
      <fieldsUsage count="2">
        <fieldUsage x="-1"/>
        <fieldUsage x="1"/>
      </fieldsUsage>
    </cacheHierarchy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Date (Year)]" caption="Date (Year)" attribute="1" defaultMemberUniqueName="[Facttable_ridership].[Date (Year)].[All]" allUniqueName="[Facttable_ridership].[Date (Year)].[All]" dimensionUniqueName="[Facttable_ridership]" displayFolder="" count="0" memberValueDatatype="130" unbalanced="0"/>
    <cacheHierarchy uniqueName="[Facttable_ridership].[Date (Quarter)]" caption="Date (Quarter)" attribute="1" defaultMemberUniqueName="[Facttable_ridership].[Date (Quarter)].[All]" allUniqueName="[Facttable_ridership].[Date (Quarter)].[All]" dimensionUniqueName="[Facttable_ridership]" displayFolder="" count="0" memberValueDatatype="130" unbalanced="0"/>
    <cacheHierarchy uniqueName="[Facttable_ridership].[Date (Month)]" caption="Date (Month)" attribute="1" defaultMemberUniqueName="[Facttable_ridership].[Date (Month)].[All]" allUniqueName="[Facttable_ridership].[Date (Month)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Facttable_ridership].[Date (Month Index)]" caption="Date (Month Index)" attribute="1" defaultMemberUniqueName="[Facttable_ridership].[Date (Month Index)].[All]" allUniqueName="[Facttable_ridership].[Date (Month Index)].[All]" dimensionUniqueName="[Facttable_ridership]" displayFolder="" count="0" memberValueDatatype="20" unbalanced="0" hidden="1"/>
    <cacheHierarchy uniqueName="[Measures].[Count of Date]" caption="Count of Date" measure="1" displayFolder="" measureGroup="Dim_DateTabl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Date 2]" caption="Count of Date 2" measure="1" displayFolder="" measureGroup="Facttable_ridership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Age]" caption="Sum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ccupation]" caption="Count of Occupation" measure="1" displayFolder="" measureGroup="Dim_demographic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Age]" caption="Count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BusID]" caption="Sum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BusID]" caption="Count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sID 2]" caption="Sum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BusID 2]" caption="Count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NumberOfRiders]" caption="Sum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Average of NumberOfRiders]" caption="Average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TotalTransaction]" caption="Total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 (Passanger)]" caption="Total Rider (Passanger)" measure="1" displayFolder="" measureGroup="Calculations" count="0" oneField="1">
      <fieldsUsage count="1">
        <fieldUsage x="0"/>
      </fieldsUsage>
    </cacheHierarchy>
    <cacheHierarchy uniqueName="[Measures].[Avg Ride Per Trip]" caption="Avg Ride Per Trip" measure="1" displayFolder="" measureGroup="Calculations" count="0"/>
    <cacheHierarchy uniqueName="[Measures].[Total Buses]" caption="Total Buses" measure="1" displayFolder="" measureGroup="Dim_buses" count="0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DateTable]" caption="__XL_Count Dim_DateTable" measure="1" displayFolder="" measureGroup="Dim_DateTable" count="0" hidden="1"/>
    <cacheHierarchy uniqueName="[Measures].[__XL_Count Calculations]" caption="__XL_Count Calculations" measure="1" displayFolder="" measureGroup="Calculations" count="0" hidden="1"/>
    <cacheHierarchy uniqueName="[Measures].[__No measures defined]" caption="__No measures defined" measure="1" displayFolder="" count="0" hidden="1"/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0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498.872608912039" createdVersion="6" refreshedVersion="6" minRefreshableVersion="3" recordCount="0" supportSubquery="1" supportAdvancedDrill="1" xr:uid="{A83DFB47-C2D1-41B8-A1BF-9EE5BFB97698}">
  <cacheSource type="external" connectionId="7"/>
  <cacheFields count="3">
    <cacheField name="[Measures].[Total Rider (Passanger)]" caption="Total Rider (Passanger)" numFmtId="0" hierarchy="55" level="32767"/>
    <cacheField name="[Facttable_ridership].[Time Group].[Time Group]" caption="Time Group" numFmtId="0" hierarchy="32" level="1">
      <sharedItems count="3">
        <s v="10AM-3PM"/>
        <s v="12AM-5AM"/>
        <s v="5AM-10AM"/>
      </sharedItems>
    </cacheField>
    <cacheField name="[Facttable_ridership].[Time].[Time]" caption="Time" numFmtId="0" hierarchy="27" level="1">
      <sharedItems containsSemiMixedTypes="0" containsNonDate="0" containsDate="1" containsString="0" minDate="1899-12-30T12:34:00" maxDate="1899-12-30T12:34:00" count="1">
        <d v="1899-12-30T12:34:00"/>
      </sharedItems>
      <extLst>
        <ext xmlns:x15="http://schemas.microsoft.com/office/spreadsheetml/2010/11/main" uri="{4F2E5C28-24EA-4eb8-9CBF-B6C8F9C3D259}">
          <x15:cachedUniqueNames>
            <x15:cachedUniqueName index="0" name="[Facttable_ridership].[Time].&amp;[1899-12-30T12:34:00]"/>
          </x15:cachedUniqueNames>
        </ext>
      </extLst>
    </cacheField>
  </cacheFields>
  <cacheHierarchies count="65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type]" caption="Weektype" attribute="1" defaultMemberUniqueName="[Dim_DateTable].[Weektype].[All]" allUniqueName="[Dim_DateTable].[Week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 group]" caption="Age group" attribute="1" defaultMemberUniqueName="[Dim_demographics].[Age group].[All]" allUniqueName="[Dim_demographics].[Age 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0" memberValueDatatype="130" unbalanced="0"/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2" memberValueDatatype="7" unbalanced="0">
      <fieldsUsage count="2">
        <fieldUsage x="-1"/>
        <fieldUsage x="2"/>
      </fieldsUsage>
    </cacheHierarchy>
    <cacheHierarchy uniqueName="[Facttable_ridership].[Operation movement]" caption="Operation movement" attribute="1" defaultMemberUniqueName="[Facttable_ridership].[Operation movement].[All]" allUniqueName="[Facttable_ridership].[Operation move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Last Characters]" caption="Last Characters" attribute="1" defaultMemberUniqueName="[Facttable_ridership].[Last Characters].[All]" allUniqueName="[Facttable_ridership].[Last Characters].[All]" dimensionUniqueName="[Facttable_ridership]" displayFolder="" count="0" memberValueDatatype="13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2" memberValueDatatype="130" unbalanced="0">
      <fieldsUsage count="2">
        <fieldUsage x="-1"/>
        <fieldUsage x="1"/>
      </fieldsUsage>
    </cacheHierarchy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Date (Year)]" caption="Date (Year)" attribute="1" defaultMemberUniqueName="[Facttable_ridership].[Date (Year)].[All]" allUniqueName="[Facttable_ridership].[Date (Year)].[All]" dimensionUniqueName="[Facttable_ridership]" displayFolder="" count="0" memberValueDatatype="130" unbalanced="0"/>
    <cacheHierarchy uniqueName="[Facttable_ridership].[Date (Quarter)]" caption="Date (Quarter)" attribute="1" defaultMemberUniqueName="[Facttable_ridership].[Date (Quarter)].[All]" allUniqueName="[Facttable_ridership].[Date (Quarter)].[All]" dimensionUniqueName="[Facttable_ridership]" displayFolder="" count="0" memberValueDatatype="130" unbalanced="0"/>
    <cacheHierarchy uniqueName="[Facttable_ridership].[Date (Month)]" caption="Date (Month)" attribute="1" defaultMemberUniqueName="[Facttable_ridership].[Date (Month)].[All]" allUniqueName="[Facttable_ridership].[Date (Month)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Facttable_ridership].[Date (Month Index)]" caption="Date (Month Index)" attribute="1" defaultMemberUniqueName="[Facttable_ridership].[Date (Month Index)].[All]" allUniqueName="[Facttable_ridership].[Date (Month Index)].[All]" dimensionUniqueName="[Facttable_ridership]" displayFolder="" count="0" memberValueDatatype="20" unbalanced="0" hidden="1"/>
    <cacheHierarchy uniqueName="[Measures].[Count of Date]" caption="Count of Date" measure="1" displayFolder="" measureGroup="Dim_DateTabl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Date 2]" caption="Count of Date 2" measure="1" displayFolder="" measureGroup="Facttable_ridership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Age]" caption="Sum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ccupation]" caption="Count of Occupation" measure="1" displayFolder="" measureGroup="Dim_demographic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Age]" caption="Count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BusID]" caption="Sum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BusID]" caption="Count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sID 2]" caption="Sum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BusID 2]" caption="Count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NumberOfRiders]" caption="Sum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Average of NumberOfRiders]" caption="Average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TotalTransaction]" caption="Total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 (Passanger)]" caption="Total Rider (Passanger)" measure="1" displayFolder="" measureGroup="Calculations" count="0" oneField="1">
      <fieldsUsage count="1">
        <fieldUsage x="0"/>
      </fieldsUsage>
    </cacheHierarchy>
    <cacheHierarchy uniqueName="[Measures].[Avg Ride Per Trip]" caption="Avg Ride Per Trip" measure="1" displayFolder="" measureGroup="Calculations" count="0"/>
    <cacheHierarchy uniqueName="[Measures].[Total Buses]" caption="Total Buses" measure="1" displayFolder="" measureGroup="Dim_buses" count="0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DateTable]" caption="__XL_Count Dim_DateTable" measure="1" displayFolder="" measureGroup="Dim_DateTable" count="0" hidden="1"/>
    <cacheHierarchy uniqueName="[Measures].[__XL_Count Calculations]" caption="__XL_Count Calculations" measure="1" displayFolder="" measureGroup="Calculations" count="0" hidden="1"/>
    <cacheHierarchy uniqueName="[Measures].[__No measures defined]" caption="__No measures defined" measure="1" displayFolder="" count="0" hidden="1"/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0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498.872611226849" createdVersion="6" refreshedVersion="6" minRefreshableVersion="3" recordCount="0" supportSubquery="1" supportAdvancedDrill="1" xr:uid="{405E77A6-2A02-4233-9DAD-B67142DBA00A}">
  <cacheSource type="external" connectionId="7"/>
  <cacheFields count="4">
    <cacheField name="[Measures].[Total Rider (Passanger)]" caption="Total Rider (Passanger)" numFmtId="0" hierarchy="55" level="32767"/>
    <cacheField name="[Facttable_ridership].[Time Group].[Time Group]" caption="Time Group" numFmtId="0" hierarchy="32" level="1">
      <sharedItems count="3">
        <s v="10AM-3PM"/>
        <s v="12AM-5AM"/>
        <s v="5AM-10AM"/>
      </sharedItems>
    </cacheField>
    <cacheField name="[Facttable_ridership].[Time].[Time]" caption="Time" numFmtId="0" hierarchy="27" level="1">
      <sharedItems containsSemiMixedTypes="0" containsNonDate="0" containsDate="1" containsString="0" minDate="1899-12-30T12:34:00" maxDate="1899-12-30T12:34:00" count="1">
        <d v="1899-12-30T12:34:00"/>
      </sharedItems>
      <extLst>
        <ext xmlns:x15="http://schemas.microsoft.com/office/spreadsheetml/2010/11/main" uri="{4F2E5C28-24EA-4eb8-9CBF-B6C8F9C3D259}">
          <x15:cachedUniqueNames>
            <x15:cachedUniqueName index="0" name="[Facttable_ridership].[Time].&amp;[1899-12-30T12:34:00]"/>
          </x15:cachedUniqueNames>
        </ext>
      </extLst>
    </cacheField>
    <cacheField name="[Dim_DateTable].[Year].[Year]" caption="Year" numFmtId="0" hierarchy="6" level="1">
      <sharedItems containsSemiMixedTypes="0" containsString="0" containsNumber="1" containsInteger="1" minValue="2023" maxValue="2024" count="2">
        <n v="2023"/>
        <n v="2024"/>
      </sharedItems>
      <extLst>
        <ext xmlns:x15="http://schemas.microsoft.com/office/spreadsheetml/2010/11/main" uri="{4F2E5C28-24EA-4eb8-9CBF-B6C8F9C3D259}">
          <x15:cachedUniqueNames>
            <x15:cachedUniqueName index="0" name="[Dim_DateTable].[Year].&amp;[2023]"/>
            <x15:cachedUniqueName index="1" name="[Dim_DateTable].[Year].&amp;[2024]"/>
          </x15:cachedUniqueNames>
        </ext>
      </extLst>
    </cacheField>
  </cacheFields>
  <cacheHierarchies count="65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2" memberValueDatatype="20" unbalanced="0">
      <fieldsUsage count="2">
        <fieldUsage x="-1"/>
        <fieldUsage x="3"/>
      </fieldsUsage>
    </cacheHierarchy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type]" caption="Weektype" attribute="1" defaultMemberUniqueName="[Dim_DateTable].[Weektype].[All]" allUniqueName="[Dim_DateTable].[Week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 group]" caption="Age group" attribute="1" defaultMemberUniqueName="[Dim_demographics].[Age group].[All]" allUniqueName="[Dim_demographics].[Age 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0" memberValueDatatype="130" unbalanced="0"/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2" memberValueDatatype="7" unbalanced="0">
      <fieldsUsage count="2">
        <fieldUsage x="-1"/>
        <fieldUsage x="2"/>
      </fieldsUsage>
    </cacheHierarchy>
    <cacheHierarchy uniqueName="[Facttable_ridership].[Operation movement]" caption="Operation movement" attribute="1" defaultMemberUniqueName="[Facttable_ridership].[Operation movement].[All]" allUniqueName="[Facttable_ridership].[Operation move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Last Characters]" caption="Last Characters" attribute="1" defaultMemberUniqueName="[Facttable_ridership].[Last Characters].[All]" allUniqueName="[Facttable_ridership].[Last Characters].[All]" dimensionUniqueName="[Facttable_ridership]" displayFolder="" count="0" memberValueDatatype="13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2" memberValueDatatype="130" unbalanced="0">
      <fieldsUsage count="2">
        <fieldUsage x="-1"/>
        <fieldUsage x="1"/>
      </fieldsUsage>
    </cacheHierarchy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Date (Year)]" caption="Date (Year)" attribute="1" defaultMemberUniqueName="[Facttable_ridership].[Date (Year)].[All]" allUniqueName="[Facttable_ridership].[Date (Year)].[All]" dimensionUniqueName="[Facttable_ridership]" displayFolder="" count="0" memberValueDatatype="130" unbalanced="0"/>
    <cacheHierarchy uniqueName="[Facttable_ridership].[Date (Quarter)]" caption="Date (Quarter)" attribute="1" defaultMemberUniqueName="[Facttable_ridership].[Date (Quarter)].[All]" allUniqueName="[Facttable_ridership].[Date (Quarter)].[All]" dimensionUniqueName="[Facttable_ridership]" displayFolder="" count="0" memberValueDatatype="130" unbalanced="0"/>
    <cacheHierarchy uniqueName="[Facttable_ridership].[Date (Month)]" caption="Date (Month)" attribute="1" defaultMemberUniqueName="[Facttable_ridership].[Date (Month)].[All]" allUniqueName="[Facttable_ridership].[Date (Month)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Facttable_ridership].[Date (Month Index)]" caption="Date (Month Index)" attribute="1" defaultMemberUniqueName="[Facttable_ridership].[Date (Month Index)].[All]" allUniqueName="[Facttable_ridership].[Date (Month Index)].[All]" dimensionUniqueName="[Facttable_ridership]" displayFolder="" count="0" memberValueDatatype="20" unbalanced="0" hidden="1"/>
    <cacheHierarchy uniqueName="[Measures].[Count of Date]" caption="Count of Date" measure="1" displayFolder="" measureGroup="Dim_DateTabl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Date 2]" caption="Count of Date 2" measure="1" displayFolder="" measureGroup="Facttable_ridership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Age]" caption="Sum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ccupation]" caption="Count of Occupation" measure="1" displayFolder="" measureGroup="Dim_demographic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Age]" caption="Count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BusID]" caption="Sum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BusID]" caption="Count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sID 2]" caption="Sum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BusID 2]" caption="Count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NumberOfRiders]" caption="Sum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Average of NumberOfRiders]" caption="Average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TotalTransaction]" caption="Total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 (Passanger)]" caption="Total Rider (Passanger)" measure="1" displayFolder="" measureGroup="Calculations" count="0" oneField="1">
      <fieldsUsage count="1">
        <fieldUsage x="0"/>
      </fieldsUsage>
    </cacheHierarchy>
    <cacheHierarchy uniqueName="[Measures].[Avg Ride Per Trip]" caption="Avg Ride Per Trip" measure="1" displayFolder="" measureGroup="Calculations" count="0"/>
    <cacheHierarchy uniqueName="[Measures].[Total Buses]" caption="Total Buses" measure="1" displayFolder="" measureGroup="Dim_buses" count="0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DateTable]" caption="__XL_Count Dim_DateTable" measure="1" displayFolder="" measureGroup="Dim_DateTable" count="0" hidden="1"/>
    <cacheHierarchy uniqueName="[Measures].[__XL_Count Calculations]" caption="__XL_Count Calculations" measure="1" displayFolder="" measureGroup="Calculations" count="0" hidden="1"/>
    <cacheHierarchy uniqueName="[Measures].[__No measures defined]" caption="__No measures defined" measure="1" displayFolder="" count="0" hidden="1"/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0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498.872613657404" createdVersion="6" refreshedVersion="6" minRefreshableVersion="3" recordCount="0" supportSubquery="1" supportAdvancedDrill="1" xr:uid="{00A7CC2E-2BE7-4FCF-9BC1-740523C8D1D2}">
  <cacheSource type="external" connectionId="7"/>
  <cacheFields count="5">
    <cacheField name="[Measures].[Total Rider (Passanger)]" caption="Total Rider (Passanger)" numFmtId="0" hierarchy="55" level="32767"/>
    <cacheField name="[Facttable_ridership].[Time Group].[Time Group]" caption="Time Group" numFmtId="0" hierarchy="32" level="1">
      <sharedItems count="3">
        <s v="10AM-3PM"/>
        <s v="12AM-5AM"/>
        <s v="5AM-10AM"/>
      </sharedItems>
    </cacheField>
    <cacheField name="[Facttable_ridership].[Time].[Time]" caption="Time" numFmtId="0" hierarchy="27" level="1">
      <sharedItems containsSemiMixedTypes="0" containsNonDate="0" containsDate="1" containsString="0" minDate="1899-12-30T12:34:00" maxDate="1899-12-30T12:34:00" count="1">
        <d v="1899-12-30T12:34:00"/>
      </sharedItems>
      <extLst>
        <ext xmlns:x15="http://schemas.microsoft.com/office/spreadsheetml/2010/11/main" uri="{4F2E5C28-24EA-4eb8-9CBF-B6C8F9C3D259}">
          <x15:cachedUniqueNames>
            <x15:cachedUniqueName index="0" name="[Facttable_ridership].[Time].&amp;[1899-12-30T12:34:00]"/>
          </x15:cachedUniqueNames>
        </ext>
      </extLst>
    </cacheField>
    <cacheField name="[Dim_DateTable].[Year].[Year]" caption="Year" numFmtId="0" hierarchy="6" level="1">
      <sharedItems containsSemiMixedTypes="0" containsString="0" containsNumber="1" containsInteger="1" minValue="2023" maxValue="2024" count="2">
        <n v="2023"/>
        <n v="2024"/>
      </sharedItems>
      <extLst>
        <ext xmlns:x15="http://schemas.microsoft.com/office/spreadsheetml/2010/11/main" uri="{4F2E5C28-24EA-4eb8-9CBF-B6C8F9C3D259}">
          <x15:cachedUniqueNames>
            <x15:cachedUniqueName index="0" name="[Dim_DateTable].[Year].&amp;[2023]"/>
            <x15:cachedUniqueName index="1" name="[Dim_DateTable].[Year].&amp;[2024]"/>
          </x15:cachedUniqueNames>
        </ext>
      </extLst>
    </cacheField>
    <cacheField name="Dummy0" numFmtId="0" hierarchy="65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66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2" memberValueDatatype="20" unbalanced="0">
      <fieldsUsage count="2">
        <fieldUsage x="-1"/>
        <fieldUsage x="3"/>
      </fieldsUsage>
    </cacheHierarchy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type]" caption="Weektype" attribute="1" defaultMemberUniqueName="[Dim_DateTable].[Weektype].[All]" allUniqueName="[Dim_DateTable].[Week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 group]" caption="Age group" attribute="1" defaultMemberUniqueName="[Dim_demographics].[Age group].[All]" allUniqueName="[Dim_demographics].[Age 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0" memberValueDatatype="130" unbalanced="0"/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2" memberValueDatatype="7" unbalanced="0">
      <fieldsUsage count="2">
        <fieldUsage x="-1"/>
        <fieldUsage x="2"/>
      </fieldsUsage>
    </cacheHierarchy>
    <cacheHierarchy uniqueName="[Facttable_ridership].[Operation movement]" caption="Operation movement" attribute="1" defaultMemberUniqueName="[Facttable_ridership].[Operation movement].[All]" allUniqueName="[Facttable_ridership].[Operation move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Last Characters]" caption="Last Characters" attribute="1" defaultMemberUniqueName="[Facttable_ridership].[Last Characters].[All]" allUniqueName="[Facttable_ridership].[Last Characters].[All]" dimensionUniqueName="[Facttable_ridership]" displayFolder="" count="0" memberValueDatatype="13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2" memberValueDatatype="130" unbalanced="0">
      <fieldsUsage count="2">
        <fieldUsage x="-1"/>
        <fieldUsage x="1"/>
      </fieldsUsage>
    </cacheHierarchy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Date (Year)]" caption="Date (Year)" attribute="1" defaultMemberUniqueName="[Facttable_ridership].[Date (Year)].[All]" allUniqueName="[Facttable_ridership].[Date (Year)].[All]" dimensionUniqueName="[Facttable_ridership]" displayFolder="" count="0" memberValueDatatype="130" unbalanced="0"/>
    <cacheHierarchy uniqueName="[Facttable_ridership].[Date (Quarter)]" caption="Date (Quarter)" attribute="1" defaultMemberUniqueName="[Facttable_ridership].[Date (Quarter)].[All]" allUniqueName="[Facttable_ridership].[Date (Quarter)].[All]" dimensionUniqueName="[Facttable_ridership]" displayFolder="" count="0" memberValueDatatype="130" unbalanced="0"/>
    <cacheHierarchy uniqueName="[Facttable_ridership].[Date (Month)]" caption="Date (Month)" attribute="1" defaultMemberUniqueName="[Facttable_ridership].[Date (Month)].[All]" allUniqueName="[Facttable_ridership].[Date (Month)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Facttable_ridership].[Date (Month Index)]" caption="Date (Month Index)" attribute="1" defaultMemberUniqueName="[Facttable_ridership].[Date (Month Index)].[All]" allUniqueName="[Facttable_ridership].[Date (Month Index)].[All]" dimensionUniqueName="[Facttable_ridership]" displayFolder="" count="0" memberValueDatatype="20" unbalanced="0" hidden="1"/>
    <cacheHierarchy uniqueName="[Measures].[Count of Date]" caption="Count of Date" measure="1" displayFolder="" measureGroup="Dim_DateTabl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Date 2]" caption="Count of Date 2" measure="1" displayFolder="" measureGroup="Facttable_ridership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Age]" caption="Sum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ccupation]" caption="Count of Occupation" measure="1" displayFolder="" measureGroup="Dim_demographic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Age]" caption="Count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BusID]" caption="Sum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BusID]" caption="Count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sID 2]" caption="Sum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BusID 2]" caption="Count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NumberOfRiders]" caption="Sum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Average of NumberOfRiders]" caption="Average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TotalTransaction]" caption="Total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 (Passanger)]" caption="Total Rider (Passanger)" measure="1" displayFolder="" measureGroup="Calculations" count="0" oneField="1">
      <fieldsUsage count="1">
        <fieldUsage x="0"/>
      </fieldsUsage>
    </cacheHierarchy>
    <cacheHierarchy uniqueName="[Measures].[Avg Ride Per Trip]" caption="Avg Ride Per Trip" measure="1" displayFolder="" measureGroup="Calculations" count="0"/>
    <cacheHierarchy uniqueName="[Measures].[Total Buses]" caption="Total Buses" measure="1" displayFolder="" measureGroup="Dim_buses" count="0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DateTable]" caption="__XL_Count Dim_DateTable" measure="1" displayFolder="" measureGroup="Dim_DateTable" count="0" hidden="1"/>
    <cacheHierarchy uniqueName="[Measures].[__XL_Count Calculations]" caption="__XL_Count Calculations" measure="1" displayFolder="" measureGroup="Calculations" count="0" hidden="1"/>
    <cacheHierarchy uniqueName="[Measures].[__No measures defined]" caption="__No measures defined" measure="1" displayFolder="" count="0" hidden="1"/>
    <cacheHierarchy uniqueName="Dummy0" caption="Calculation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0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498.872615277774" createdVersion="6" refreshedVersion="6" minRefreshableVersion="3" recordCount="0" supportSubquery="1" supportAdvancedDrill="1" xr:uid="{A43B6E06-CFDB-41E5-AF00-3A789F1CA5B9}">
  <cacheSource type="external" connectionId="7"/>
  <cacheFields count="4">
    <cacheField name="[Measures].[Total Rider (Passanger)]" caption="Total Rider (Passanger)" numFmtId="0" hierarchy="55" level="32767"/>
    <cacheField name="[Facttable_ridership].[Time Group].[Time Group]" caption="Time Group" numFmtId="0" hierarchy="32" level="1">
      <sharedItems count="3">
        <s v="10AM-3PM"/>
        <s v="12AM-5AM"/>
        <s v="5AM-10AM"/>
      </sharedItems>
    </cacheField>
    <cacheField name="[Facttable_ridership].[Time].[Time]" caption="Time" numFmtId="0" hierarchy="27" level="1">
      <sharedItems containsSemiMixedTypes="0" containsNonDate="0" containsDate="1" containsString="0" minDate="1899-12-30T12:34:00" maxDate="1899-12-30T12:34:00" count="1">
        <d v="1899-12-30T12:34:00"/>
      </sharedItems>
      <extLst>
        <ext xmlns:x15="http://schemas.microsoft.com/office/spreadsheetml/2010/11/main" uri="{4F2E5C28-24EA-4eb8-9CBF-B6C8F9C3D259}">
          <x15:cachedUniqueNames>
            <x15:cachedUniqueName index="0" name="[Facttable_ridership].[Time].&amp;[1899-12-30T12:34:00]"/>
          </x15:cachedUniqueNames>
        </ext>
      </extLst>
    </cacheField>
    <cacheField name="[Dim_DateTable].[Day Name].[Day Name]" caption="Day Name" numFmtId="0" hierarchy="9" level="1">
      <sharedItems count="7">
        <s v="Sun"/>
        <s v="Mon"/>
        <s v="Tue"/>
        <s v="Wed"/>
        <s v="Thu"/>
        <s v="Fri"/>
        <s v="Sat"/>
      </sharedItems>
    </cacheField>
  </cacheFields>
  <cacheHierarchies count="65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2" memberValueDatatype="130" unbalanced="0">
      <fieldsUsage count="2">
        <fieldUsage x="-1"/>
        <fieldUsage x="3"/>
      </fieldsUsage>
    </cacheHierarchy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type]" caption="Weektype" attribute="1" defaultMemberUniqueName="[Dim_DateTable].[Weektype].[All]" allUniqueName="[Dim_DateTable].[Week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 group]" caption="Age group" attribute="1" defaultMemberUniqueName="[Dim_demographics].[Age group].[All]" allUniqueName="[Dim_demographics].[Age 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0" memberValueDatatype="130" unbalanced="0"/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2" memberValueDatatype="7" unbalanced="0">
      <fieldsUsage count="2">
        <fieldUsage x="-1"/>
        <fieldUsage x="2"/>
      </fieldsUsage>
    </cacheHierarchy>
    <cacheHierarchy uniqueName="[Facttable_ridership].[Operation movement]" caption="Operation movement" attribute="1" defaultMemberUniqueName="[Facttable_ridership].[Operation movement].[All]" allUniqueName="[Facttable_ridership].[Operation move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Last Characters]" caption="Last Characters" attribute="1" defaultMemberUniqueName="[Facttable_ridership].[Last Characters].[All]" allUniqueName="[Facttable_ridership].[Last Characters].[All]" dimensionUniqueName="[Facttable_ridership]" displayFolder="" count="0" memberValueDatatype="13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2" memberValueDatatype="130" unbalanced="0">
      <fieldsUsage count="2">
        <fieldUsage x="-1"/>
        <fieldUsage x="1"/>
      </fieldsUsage>
    </cacheHierarchy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Date (Year)]" caption="Date (Year)" attribute="1" defaultMemberUniqueName="[Facttable_ridership].[Date (Year)].[All]" allUniqueName="[Facttable_ridership].[Date (Year)].[All]" dimensionUniqueName="[Facttable_ridership]" displayFolder="" count="0" memberValueDatatype="130" unbalanced="0"/>
    <cacheHierarchy uniqueName="[Facttable_ridership].[Date (Quarter)]" caption="Date (Quarter)" attribute="1" defaultMemberUniqueName="[Facttable_ridership].[Date (Quarter)].[All]" allUniqueName="[Facttable_ridership].[Date (Quarter)].[All]" dimensionUniqueName="[Facttable_ridership]" displayFolder="" count="0" memberValueDatatype="130" unbalanced="0"/>
    <cacheHierarchy uniqueName="[Facttable_ridership].[Date (Month)]" caption="Date (Month)" attribute="1" defaultMemberUniqueName="[Facttable_ridership].[Date (Month)].[All]" allUniqueName="[Facttable_ridership].[Date (Month)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Facttable_ridership].[Date (Month Index)]" caption="Date (Month Index)" attribute="1" defaultMemberUniqueName="[Facttable_ridership].[Date (Month Index)].[All]" allUniqueName="[Facttable_ridership].[Date (Month Index)].[All]" dimensionUniqueName="[Facttable_ridership]" displayFolder="" count="0" memberValueDatatype="20" unbalanced="0" hidden="1"/>
    <cacheHierarchy uniqueName="[Measures].[Count of Date]" caption="Count of Date" measure="1" displayFolder="" measureGroup="Dim_DateTabl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Date 2]" caption="Count of Date 2" measure="1" displayFolder="" measureGroup="Facttable_ridership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Age]" caption="Sum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ccupation]" caption="Count of Occupation" measure="1" displayFolder="" measureGroup="Dim_demographic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Age]" caption="Count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BusID]" caption="Sum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BusID]" caption="Count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sID 2]" caption="Sum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BusID 2]" caption="Count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NumberOfRiders]" caption="Sum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Average of NumberOfRiders]" caption="Average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TotalTransaction]" caption="Total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 (Passanger)]" caption="Total Rider (Passanger)" measure="1" displayFolder="" measureGroup="Calculations" count="0" oneField="1">
      <fieldsUsage count="1">
        <fieldUsage x="0"/>
      </fieldsUsage>
    </cacheHierarchy>
    <cacheHierarchy uniqueName="[Measures].[Avg Ride Per Trip]" caption="Avg Ride Per Trip" measure="1" displayFolder="" measureGroup="Calculations" count="0"/>
    <cacheHierarchy uniqueName="[Measures].[Total Buses]" caption="Total Buses" measure="1" displayFolder="" measureGroup="Dim_buses" count="0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DateTable]" caption="__XL_Count Dim_DateTable" measure="1" displayFolder="" measureGroup="Dim_DateTable" count="0" hidden="1"/>
    <cacheHierarchy uniqueName="[Measures].[__XL_Count Calculations]" caption="__XL_Count Calculations" measure="1" displayFolder="" measureGroup="Calculations" count="0" hidden="1"/>
    <cacheHierarchy uniqueName="[Measures].[__No measures defined]" caption="__No measures defined" measure="1" displayFolder="" count="0" hidden="1"/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0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498.872616898145" createdVersion="6" refreshedVersion="6" minRefreshableVersion="3" recordCount="0" supportSubquery="1" supportAdvancedDrill="1" xr:uid="{E90254B7-AD33-4756-A8CB-35455F72D886}">
  <cacheSource type="external" connectionId="7"/>
  <cacheFields count="4">
    <cacheField name="[Measures].[Total Rider (Passanger)]" caption="Total Rider (Passanger)" numFmtId="0" hierarchy="55" level="32767"/>
    <cacheField name="[Facttable_ridership].[Time Group].[Time Group]" caption="Time Group" numFmtId="0" hierarchy="32" level="1">
      <sharedItems count="3">
        <s v="10AM-3PM"/>
        <s v="12AM-5AM"/>
        <s v="5AM-10AM"/>
      </sharedItems>
    </cacheField>
    <cacheField name="[Facttable_ridership].[Time].[Time]" caption="Time" numFmtId="0" hierarchy="27" level="1">
      <sharedItems containsSemiMixedTypes="0" containsNonDate="0" containsDate="1" containsString="0" minDate="1899-12-30T12:34:00" maxDate="1899-12-30T12:34:00" count="1">
        <d v="1899-12-30T12:34:00"/>
      </sharedItems>
      <extLst>
        <ext xmlns:x15="http://schemas.microsoft.com/office/spreadsheetml/2010/11/main" uri="{4F2E5C28-24EA-4eb8-9CBF-B6C8F9C3D259}">
          <x15:cachedUniqueNames>
            <x15:cachedUniqueName index="0" name="[Facttable_ridership].[Time].&amp;[1899-12-30T12:34:00]"/>
          </x15:cachedUniqueNames>
        </ext>
      </extLst>
    </cacheField>
    <cacheField name="[Dim_DateTable].[Month Name].[Month Name]" caption="Month Name" numFmtId="0" hierarchy="7" level="1">
      <sharedItems count="2">
        <s v="Jan"/>
        <s v="Dec"/>
      </sharedItems>
    </cacheField>
  </cacheFields>
  <cacheHierarchies count="65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2" memberValueDatatype="130" unbalanced="0">
      <fieldsUsage count="2">
        <fieldUsage x="-1"/>
        <fieldUsage x="3"/>
      </fieldsUsage>
    </cacheHierarchy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type]" caption="Weektype" attribute="1" defaultMemberUniqueName="[Dim_DateTable].[Weektype].[All]" allUniqueName="[Dim_DateTable].[Week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 group]" caption="Age group" attribute="1" defaultMemberUniqueName="[Dim_demographics].[Age group].[All]" allUniqueName="[Dim_demographics].[Age 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0" memberValueDatatype="130" unbalanced="0"/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2" memberValueDatatype="7" unbalanced="0">
      <fieldsUsage count="2">
        <fieldUsage x="-1"/>
        <fieldUsage x="2"/>
      </fieldsUsage>
    </cacheHierarchy>
    <cacheHierarchy uniqueName="[Facttable_ridership].[Operation movement]" caption="Operation movement" attribute="1" defaultMemberUniqueName="[Facttable_ridership].[Operation movement].[All]" allUniqueName="[Facttable_ridership].[Operation move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Last Characters]" caption="Last Characters" attribute="1" defaultMemberUniqueName="[Facttable_ridership].[Last Characters].[All]" allUniqueName="[Facttable_ridership].[Last Characters].[All]" dimensionUniqueName="[Facttable_ridership]" displayFolder="" count="0" memberValueDatatype="13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2" memberValueDatatype="130" unbalanced="0">
      <fieldsUsage count="2">
        <fieldUsage x="-1"/>
        <fieldUsage x="1"/>
      </fieldsUsage>
    </cacheHierarchy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0" memberValueDatatype="130" unbalanced="0"/>
    <cacheHierarchy uniqueName="[Facttable_ridership].[Date (Year)]" caption="Date (Year)" attribute="1" defaultMemberUniqueName="[Facttable_ridership].[Date (Year)].[All]" allUniqueName="[Facttable_ridership].[Date (Year)].[All]" dimensionUniqueName="[Facttable_ridership]" displayFolder="" count="0" memberValueDatatype="130" unbalanced="0"/>
    <cacheHierarchy uniqueName="[Facttable_ridership].[Date (Quarter)]" caption="Date (Quarter)" attribute="1" defaultMemberUniqueName="[Facttable_ridership].[Date (Quarter)].[All]" allUniqueName="[Facttable_ridership].[Date (Quarter)].[All]" dimensionUniqueName="[Facttable_ridership]" displayFolder="" count="0" memberValueDatatype="130" unbalanced="0"/>
    <cacheHierarchy uniqueName="[Facttable_ridership].[Date (Month)]" caption="Date (Month)" attribute="1" defaultMemberUniqueName="[Facttable_ridership].[Date (Month)].[All]" allUniqueName="[Facttable_ridership].[Date (Month)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Facttable_ridership].[Date (Month Index)]" caption="Date (Month Index)" attribute="1" defaultMemberUniqueName="[Facttable_ridership].[Date (Month Index)].[All]" allUniqueName="[Facttable_ridership].[Date (Month Index)].[All]" dimensionUniqueName="[Facttable_ridership]" displayFolder="" count="0" memberValueDatatype="20" unbalanced="0" hidden="1"/>
    <cacheHierarchy uniqueName="[Measures].[Count of Date]" caption="Count of Date" measure="1" displayFolder="" measureGroup="Dim_DateTabl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Date 2]" caption="Count of Date 2" measure="1" displayFolder="" measureGroup="Facttable_ridership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Age]" caption="Sum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ccupation]" caption="Count of Occupation" measure="1" displayFolder="" measureGroup="Dim_demographic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Age]" caption="Count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BusID]" caption="Sum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BusID]" caption="Count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sID 2]" caption="Sum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BusID 2]" caption="Count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NumberOfRiders]" caption="Sum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Average of NumberOfRiders]" caption="Average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TotalTransaction]" caption="Total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 (Passanger)]" caption="Total Rider (Passanger)" measure="1" displayFolder="" measureGroup="Calculations" count="0" oneField="1">
      <fieldsUsage count="1">
        <fieldUsage x="0"/>
      </fieldsUsage>
    </cacheHierarchy>
    <cacheHierarchy uniqueName="[Measures].[Avg Ride Per Trip]" caption="Avg Ride Per Trip" measure="1" displayFolder="" measureGroup="Calculations" count="0"/>
    <cacheHierarchy uniqueName="[Measures].[Total Buses]" caption="Total Buses" measure="1" displayFolder="" measureGroup="Dim_buses" count="0"/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DateTable]" caption="__XL_Count Dim_DateTable" measure="1" displayFolder="" measureGroup="Dim_DateTable" count="0" hidden="1"/>
    <cacheHierarchy uniqueName="[Measures].[__XL_Count Calculations]" caption="__XL_Count Calculations" measure="1" displayFolder="" measureGroup="Calculations" count="0" hidden="1"/>
    <cacheHierarchy uniqueName="[Measures].[__No measures defined]" caption="__No measures defined" measure="1" displayFolder="" count="0" hidden="1"/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0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498.872620601855" createdVersion="6" refreshedVersion="6" minRefreshableVersion="3" recordCount="0" supportSubquery="1" supportAdvancedDrill="1" xr:uid="{80165AC9-2948-41C0-8299-4E3F147EFADF}">
  <cacheSource type="external" connectionId="7"/>
  <cacheFields count="3">
    <cacheField name="[Facttable_ridership].[Time].[Time]" caption="Time" numFmtId="0" hierarchy="27" level="1">
      <sharedItems containsSemiMixedTypes="0" containsNonDate="0" containsDate="1" containsString="0" minDate="1899-12-30T12:34:00" maxDate="1899-12-30T12:34:00" count="1">
        <d v="1899-12-30T12:34:00"/>
      </sharedItems>
      <extLst>
        <ext xmlns:x15="http://schemas.microsoft.com/office/spreadsheetml/2010/11/main" uri="{4F2E5C28-24EA-4eb8-9CBF-B6C8F9C3D259}">
          <x15:cachedUniqueNames>
            <x15:cachedUniqueName index="0" name="[Facttable_ridership].[Time].&amp;[1899-12-30T12:34:00]"/>
          </x15:cachedUniqueNames>
        </ext>
      </extLst>
    </cacheField>
    <cacheField name="[Facttable_ridership].[Bus Utilization Category].[Bus Utilization Category]" caption="Bus Utilization Category" numFmtId="0" hierarchy="35" level="1">
      <sharedItems count="3">
        <s v="Over-Utilized"/>
        <s v="Under-Utilized"/>
        <s v="Well-Utilized"/>
      </sharedItems>
    </cacheField>
    <cacheField name="[Measures].[Total Buses]" caption="Total Buses" numFmtId="0" hierarchy="57" level="32767"/>
  </cacheFields>
  <cacheHierarchies count="65">
    <cacheHierarchy uniqueName="[Calculations].[Calculation]" caption="Calculation" attribute="1" defaultMemberUniqueName="[Calculations].[Calculation].[All]" allUniqueName="[Calculations].[Calculation].[All]" dimensionUniqueName="[Calculations]" displayFolder="" count="0" memberValueDatatype="20" unbalanced="0"/>
    <cacheHierarchy uniqueName="[Dim_buses].[BusID]" caption="BusID" attribute="1" defaultMemberUniqueName="[Dim_buses].[BusID].[All]" allUniqueName="[Dim_buses].[BusID].[All]" dimensionUniqueName="[Dim_buses]" displayFolder="" count="0" memberValueDatatype="20" unbalanced="0"/>
    <cacheHierarchy uniqueName="[Dim_buses].[RouteID]" caption="RouteID" attribute="1" defaultMemberUniqueName="[Dim_buses].[RouteID].[All]" allUniqueName="[Dim_buses].[RouteID].[All]" dimensionUniqueName="[Dim_buses]" displayFolder="" count="0" memberValueDatatype="20" unbalanced="0"/>
    <cacheHierarchy uniqueName="[Dim_buses].[BusNumber]" caption="BusNumber" attribute="1" defaultMemberUniqueName="[Dim_buses].[BusNumber].[All]" allUniqueName="[Dim_buses].[BusNumber].[All]" dimensionUniqueName="[Dim_buses]" displayFolder="" count="0" memberValueDatatype="130" unbalanced="0"/>
    <cacheHierarchy uniqueName="[Dim_buses].[Capacity]" caption="Capacity" attribute="1" defaultMemberUniqueName="[Dim_buses].[Capacity].[All]" allUniqueName="[Dim_buses].[Capacity].[All]" dimensionUniqueName="[Dim_buses]" displayFolder="" count="0" memberValueDatatype="20" unbalanced="0"/>
    <cacheHierarchy uniqueName="[Dim_DateTable].[Date]" caption="Date" attribute="1" time="1" defaultMemberUniqueName="[Dim_DateTable].[Date].[All]" allUniqueName="[Dim_DateTable].[Date].[All]" dimensionUniqueName="[Dim_DateTable]" displayFolder="" count="0" memberValueDatatype="7" unbalanced="0"/>
    <cacheHierarchy uniqueName="[Dim_DateTable].[Year]" caption="Year" attribute="1" defaultMemberUniqueName="[Dim_DateTable].[Year].[All]" allUniqueName="[Dim_DateTable].[Year].[All]" dimensionUniqueName="[Dim_DateTable]" displayFolder="" count="0" memberValueDatatype="20" unbalanced="0"/>
    <cacheHierarchy uniqueName="[Dim_DateTable].[Month Name]" caption="Month Name" attribute="1" defaultMemberUniqueName="[Dim_DateTable].[Month Name].[All]" allUniqueName="[Dim_DateTable].[Month Name].[All]" dimensionUniqueName="[Dim_DateTable]" displayFolder="" count="0" memberValueDatatype="130" unbalanced="0"/>
    <cacheHierarchy uniqueName="[Dim_DateTable].[Month]" caption="Month" attribute="1" defaultMemberUniqueName="[Dim_DateTable].[Month].[All]" allUniqueName="[Dim_DateTable].[Month].[All]" dimensionUniqueName="[Dim_DateTable]" displayFolder="" count="0" memberValueDatatype="20" unbalanced="0"/>
    <cacheHierarchy uniqueName="[Dim_DateTable].[Day Name]" caption="Day Name" attribute="1" defaultMemberUniqueName="[Dim_DateTable].[Day Name].[All]" allUniqueName="[Dim_DateTable].[Day Name].[All]" dimensionUniqueName="[Dim_DateTable]" displayFolder="" count="0" memberValueDatatype="130" unbalanced="0"/>
    <cacheHierarchy uniqueName="[Dim_DateTable].[Week Number]" caption="Week Number" attribute="1" defaultMemberUniqueName="[Dim_DateTable].[Week Number].[All]" allUniqueName="[Dim_DateTable].[Week Number].[All]" dimensionUniqueName="[Dim_DateTable]" displayFolder="" count="0" memberValueDatatype="20" unbalanced="0"/>
    <cacheHierarchy uniqueName="[Dim_DateTable].[Weektype]" caption="Weektype" attribute="1" defaultMemberUniqueName="[Dim_DateTable].[Weektype].[All]" allUniqueName="[Dim_DateTable].[Weektype].[All]" dimensionUniqueName="[Dim_DateTable]" displayFolder="" count="0" memberValueDatatype="130" unbalanced="0"/>
    <cacheHierarchy uniqueName="[Dim_demographics].[RiderID]" caption="RiderID" attribute="1" defaultMemberUniqueName="[Dim_demographics].[RiderID].[All]" allUniqueName="[Dim_demographics].[RiderID].[All]" dimensionUniqueName="[Dim_demographics]" displayFolder="" count="0" memberValueDatatype="20" unbalanced="0"/>
    <cacheHierarchy uniqueName="[Dim_demographics].[Age]" caption="Age" attribute="1" defaultMemberUniqueName="[Dim_demographics].[Age].[All]" allUniqueName="[Dim_demographics].[Age].[All]" dimensionUniqueName="[Dim_demographics]" displayFolder="" count="0" memberValueDatatype="20" unbalanced="0"/>
    <cacheHierarchy uniqueName="[Dim_demographics].[Gender]" caption="Gender" attribute="1" defaultMemberUniqueName="[Dim_demographics].[Gender].[All]" allUniqueName="[Dim_demographics].[Gender].[All]" dimensionUniqueName="[Dim_demographics]" displayFolder="" count="0" memberValueDatatype="130" unbalanced="0"/>
    <cacheHierarchy uniqueName="[Dim_demographics].[Occupation]" caption="Occupation" attribute="1" defaultMemberUniqueName="[Dim_demographics].[Occupation].[All]" allUniqueName="[Dim_demographics].[Occupation].[All]" dimensionUniqueName="[Dim_demographics]" displayFolder="" count="0" memberValueDatatype="130" unbalanced="0"/>
    <cacheHierarchy uniqueName="[Dim_demographics].[Age group]" caption="Age group" attribute="1" defaultMemberUniqueName="[Dim_demographics].[Age group].[All]" allUniqueName="[Dim_demographics].[Age group].[All]" dimensionUniqueName="[Dim_demographics]" displayFolder="" count="0" memberValueDatatype="130" unbalanced="0"/>
    <cacheHierarchy uniqueName="[Dim_routes].[RouteID]" caption="RouteID" attribute="1" defaultMemberUniqueName="[Dim_routes].[RouteID].[All]" allUniqueName="[Dim_routes].[RouteID].[All]" dimensionUniqueName="[Dim_routes]" displayFolder="" count="0" memberValueDatatype="20" unbalanced="0"/>
    <cacheHierarchy uniqueName="[Dim_routes].[RouteName]" caption="RouteName" attribute="1" defaultMemberUniqueName="[Dim_routes].[RouteName].[All]" allUniqueName="[Dim_routes].[RouteName].[All]" dimensionUniqueName="[Dim_routes]" displayFolder="" count="0" memberValueDatatype="130" unbalanced="0"/>
    <cacheHierarchy uniqueName="[Dim_routes].[StartLocation]" caption="StartLocation" attribute="1" defaultMemberUniqueName="[Dim_routes].[StartLocation].[All]" allUniqueName="[Dim_routes].[StartLocation].[All]" dimensionUniqueName="[Dim_routes]" displayFolder="" count="0" memberValueDatatype="130" unbalanced="0"/>
    <cacheHierarchy uniqueName="[Dim_routes].[EndLocation]" caption="EndLocation" attribute="1" defaultMemberUniqueName="[Dim_routes].[EndLocation].[All]" allUniqueName="[Dim_routes].[EndLocation].[All]" dimensionUniqueName="[Dim_routes]" displayFolder="" count="0" memberValueDatatype="130" unbalanced="0"/>
    <cacheHierarchy uniqueName="[Dim_routes].[TripFee]" caption="TripFee" attribute="1" defaultMemberUniqueName="[Dim_routes].[TripFee].[All]" allUniqueName="[Dim_routes].[TripFee].[All]" dimensionUniqueName="[Dim_routes]" displayFolder="" count="0" memberValueDatatype="20" unbalanced="0"/>
    <cacheHierarchy uniqueName="[Dim_routes].[TakeOffTime]" caption="TakeOffTime" attribute="1" time="1" defaultMemberUniqueName="[Dim_routes].[TakeOffTime].[All]" allUniqueName="[Dim_routes].[TakeOffTime].[All]" dimensionUniqueName="[Dim_routes]" displayFolder="" count="0" memberValueDatatype="7" unbalanced="0"/>
    <cacheHierarchy uniqueName="[Dim_routes].[ArrivalTime]" caption="ArrivalTime" attribute="1" time="1" defaultMemberUniqueName="[Dim_routes].[ArrivalTime].[All]" allUniqueName="[Dim_routes].[ArrivalTime].[All]" dimensionUniqueName="[Dim_routes]" displayFolder="" count="0" memberValueDatatype="7" unbalanced="0"/>
    <cacheHierarchy uniqueName="[Facttable_ridership].[RecordID]" caption="RecordID" attribute="1" defaultMemberUniqueName="[Facttable_ridership].[RecordID].[All]" allUniqueName="[Facttable_ridership].[RecordID].[All]" dimensionUniqueName="[Facttable_ridership]" displayFolder="" count="0" memberValueDatatype="20" unbalanced="0"/>
    <cacheHierarchy uniqueName="[Facttable_ridership].[BusID]" caption="BusID" attribute="1" defaultMemberUniqueName="[Facttable_ridership].[BusID].[All]" allUniqueName="[Facttable_ridership].[BusID].[All]" dimensionUniqueName="[Facttable_ridership]" displayFolder="" count="0" memberValueDatatype="20" unbalanced="0"/>
    <cacheHierarchy uniqueName="[Facttable_ridership].[Date]" caption="Date" attribute="1" time="1" defaultMemberUniqueName="[Facttable_ridership].[Date].[All]" allUniqueName="[Facttable_ridership].[Date].[All]" dimensionUniqueName="[Facttable_ridership]" displayFolder="" count="0" memberValueDatatype="7" unbalanced="0"/>
    <cacheHierarchy uniqueName="[Facttable_ridership].[Time]" caption="Time" attribute="1" time="1" defaultMemberUniqueName="[Facttable_ridership].[Time].[All]" allUniqueName="[Facttable_ridership].[Time].[All]" dimensionUniqueName="[Facttable_ridership]" displayFolder="" count="2" memberValueDatatype="7" unbalanced="0">
      <fieldsUsage count="2">
        <fieldUsage x="-1"/>
        <fieldUsage x="0"/>
      </fieldsUsage>
    </cacheHierarchy>
    <cacheHierarchy uniqueName="[Facttable_ridership].[Operation movement]" caption="Operation movement" attribute="1" defaultMemberUniqueName="[Facttable_ridership].[Operation movement].[All]" allUniqueName="[Facttable_ridership].[Operation movement].[All]" dimensionUniqueName="[Facttable_ridership]" displayFolder="" count="0" memberValueDatatype="130" unbalanced="0"/>
    <cacheHierarchy uniqueName="[Facttable_ridership].[NumberOfRiders]" caption="NumberOfRiders" attribute="1" defaultMemberUniqueName="[Facttable_ridership].[NumberOfRiders].[All]" allUniqueName="[Facttable_ridership].[NumberOfRiders].[All]" dimensionUniqueName="[Facttable_ridership]" displayFolder="" count="0" memberValueDatatype="20" unbalanced="0"/>
    <cacheHierarchy uniqueName="[Facttable_ridership].[RiderID]" caption="RiderID" attribute="1" defaultMemberUniqueName="[Facttable_ridership].[RiderID].[All]" allUniqueName="[Facttable_ridership].[RiderID].[All]" dimensionUniqueName="[Facttable_ridership]" displayFolder="" count="0" memberValueDatatype="20" unbalanced="0"/>
    <cacheHierarchy uniqueName="[Facttable_ridership].[Last Characters]" caption="Last Characters" attribute="1" defaultMemberUniqueName="[Facttable_ridership].[Last Characters].[All]" allUniqueName="[Facttable_ridership].[Last Characters].[All]" dimensionUniqueName="[Facttable_ridership]" displayFolder="" count="0" memberValueDatatype="130" unbalanced="0"/>
    <cacheHierarchy uniqueName="[Facttable_ridership].[Time Group]" caption="Time Group" attribute="1" defaultMemberUniqueName="[Facttable_ridership].[Time Group].[All]" allUniqueName="[Facttable_ridership].[Time Group].[All]" dimensionUniqueName="[Facttable_ridership]" displayFolder="" count="0" memberValueDatatype="130" unbalanced="0"/>
    <cacheHierarchy uniqueName="[Facttable_ridership].[Capacity]" caption="Capacity" attribute="1" defaultMemberUniqueName="[Facttable_ridership].[Capacity].[All]" allUniqueName="[Facttable_ridership].[Capacity].[All]" dimensionUniqueName="[Facttable_ridership]" displayFolder="" count="0" memberValueDatatype="20" unbalanced="0"/>
    <cacheHierarchy uniqueName="[Facttable_ridership].[Utilization Pct]" caption="Utilization Pct" attribute="1" defaultMemberUniqueName="[Facttable_ridership].[Utilization Pct].[All]" allUniqueName="[Facttable_ridership].[Utilization Pct].[All]" dimensionUniqueName="[Facttable_ridership]" displayFolder="" count="0" memberValueDatatype="5" unbalanced="0"/>
    <cacheHierarchy uniqueName="[Facttable_ridership].[Bus Utilization Category]" caption="Bus Utilization Category" attribute="1" defaultMemberUniqueName="[Facttable_ridership].[Bus Utilization Category].[All]" allUniqueName="[Facttable_ridership].[Bus Utilization Category].[All]" dimensionUniqueName="[Facttable_ridership]" displayFolder="" count="2" memberValueDatatype="130" unbalanced="0">
      <fieldsUsage count="2">
        <fieldUsage x="-1"/>
        <fieldUsage x="1"/>
      </fieldsUsage>
    </cacheHierarchy>
    <cacheHierarchy uniqueName="[Facttable_ridership].[Date (Year)]" caption="Date (Year)" attribute="1" defaultMemberUniqueName="[Facttable_ridership].[Date (Year)].[All]" allUniqueName="[Facttable_ridership].[Date (Year)].[All]" dimensionUniqueName="[Facttable_ridership]" displayFolder="" count="0" memberValueDatatype="130" unbalanced="0"/>
    <cacheHierarchy uniqueName="[Facttable_ridership].[Date (Quarter)]" caption="Date (Quarter)" attribute="1" defaultMemberUniqueName="[Facttable_ridership].[Date (Quarter)].[All]" allUniqueName="[Facttable_ridership].[Date (Quarter)].[All]" dimensionUniqueName="[Facttable_ridership]" displayFolder="" count="0" memberValueDatatype="130" unbalanced="0"/>
    <cacheHierarchy uniqueName="[Facttable_ridership].[Date (Month)]" caption="Date (Month)" attribute="1" defaultMemberUniqueName="[Facttable_ridership].[Date (Month)].[All]" allUniqueName="[Facttable_ridership].[Date (Month)].[All]" dimensionUniqueName="[Facttable_ridership]" displayFolder="" count="0" memberValueDatatype="130" unbalanced="0"/>
    <cacheHierarchy uniqueName="[Facttable_ridership].[Time (Hour)]" caption="Time (Hour)" attribute="1" defaultMemberUniqueName="[Facttable_ridership].[Time (Hour)].[All]" allUniqueName="[Facttable_ridership].[Time (Hour)].[All]" dimensionUniqueName="[Facttable_ridership]" displayFolder="" count="0" memberValueDatatype="130" unbalanced="0"/>
    <cacheHierarchy uniqueName="[Facttable_ridership].[Time (Minute)]" caption="Time (Minute)" attribute="1" defaultMemberUniqueName="[Facttable_ridership].[Time (Minute)].[All]" allUniqueName="[Facttable_ridership].[Time (Minute)].[All]" dimensionUniqueName="[Facttable_ridership]" displayFolder="" count="0" memberValueDatatype="130" unbalanced="0"/>
    <cacheHierarchy uniqueName="[Facttable_ridership].[Date (Month Index)]" caption="Date (Month Index)" attribute="1" defaultMemberUniqueName="[Facttable_ridership].[Date (Month Index)].[All]" allUniqueName="[Facttable_ridership].[Date (Month Index)].[All]" dimensionUniqueName="[Facttable_ridership]" displayFolder="" count="0" memberValueDatatype="20" unbalanced="0" hidden="1"/>
    <cacheHierarchy uniqueName="[Measures].[Count of Date]" caption="Count of Date" measure="1" displayFolder="" measureGroup="Dim_DateTabl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Date 2]" caption="Count of Date 2" measure="1" displayFolder="" measureGroup="Facttable_ridership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Age]" caption="Sum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ccupation]" caption="Count of Occupation" measure="1" displayFolder="" measureGroup="Dim_demographic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Age]" caption="Count of Age" measure="1" displayFolder="" measureGroup="Dim_demographics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BusID]" caption="Sum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BusID]" caption="Count of BusID" measure="1" displayFolder="" measureGroup="Dim_buses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BusID 2]" caption="Sum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BusID 2]" caption="Count of BusID 2" measure="1" displayFolder="" measureGroup="Facttable_ridership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NumberOfRiders]" caption="Sum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Average of NumberOfRiders]" caption="Average of NumberOfRiders" measure="1" displayFolder="" measureGroup="Facttable_ridership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TotalTransaction]" caption="TotalTransaction" measure="1" displayFolder="" measureGroup="Calculations" count="0"/>
    <cacheHierarchy uniqueName="[Measures].[Average Age]" caption="Average Age" measure="1" displayFolder="" measureGroup="Calculations" count="0"/>
    <cacheHierarchy uniqueName="[Measures].[Total Rider (Passanger)]" caption="Total Rider (Passanger)" measure="1" displayFolder="" measureGroup="Calculations" count="0"/>
    <cacheHierarchy uniqueName="[Measures].[Avg Ride Per Trip]" caption="Avg Ride Per Trip" measure="1" displayFolder="" measureGroup="Calculations" count="0"/>
    <cacheHierarchy uniqueName="[Measures].[Total Buses]" caption="Total Buses" measure="1" displayFolder="" measureGroup="Dim_buses" count="0" oneField="1">
      <fieldsUsage count="1">
        <fieldUsage x="2"/>
      </fieldsUsage>
    </cacheHierarchy>
    <cacheHierarchy uniqueName="[Measures].[__XL_Count Dim_buses]" caption="__XL_Count Dim_buses" measure="1" displayFolder="" measureGroup="Dim_buses" count="0" hidden="1"/>
    <cacheHierarchy uniqueName="[Measures].[__XL_Count Dim_demographics]" caption="__XL_Count Dim_demographics" measure="1" displayFolder="" measureGroup="Dim_demographics" count="0" hidden="1"/>
    <cacheHierarchy uniqueName="[Measures].[__XL_Count Dim_routes]" caption="__XL_Count Dim_routes" measure="1" displayFolder="" measureGroup="Dim_routes" count="0" hidden="1"/>
    <cacheHierarchy uniqueName="[Measures].[__XL_Count Facttable_ridership]" caption="__XL_Count Facttable_ridership" measure="1" displayFolder="" measureGroup="Facttable_ridership" count="0" hidden="1"/>
    <cacheHierarchy uniqueName="[Measures].[__XL_Count Dim_DateTable]" caption="__XL_Count Dim_DateTable" measure="1" displayFolder="" measureGroup="Dim_DateTable" count="0" hidden="1"/>
    <cacheHierarchy uniqueName="[Measures].[__XL_Count Calculations]" caption="__XL_Count Calculations" measure="1" displayFolder="" measureGroup="Calculations" count="0" hidden="1"/>
    <cacheHierarchy uniqueName="[Measures].[__No measures defined]" caption="__No measures defined" measure="1" displayFolder="" count="0" hidden="1"/>
  </cacheHierarchies>
  <kpis count="0"/>
  <dimensions count="7">
    <dimension name="Calculations" uniqueName="[Calculations]" caption="Calculations"/>
    <dimension name="Dim_buses" uniqueName="[Dim_buses]" caption="Dim_buses"/>
    <dimension name="Dim_DateTable" uniqueName="[Dim_DateTable]" caption="Dim_DateTable"/>
    <dimension name="Dim_demographics" uniqueName="[Dim_demographics]" caption="Dim_demographics"/>
    <dimension name="Dim_routes" uniqueName="[Dim_routes]" caption="Dim_routes"/>
    <dimension name="Facttable_ridership" uniqueName="[Facttable_ridership]" caption="Facttable_ridership"/>
    <dimension measure="1" name="Measures" uniqueName="[Measures]" caption="Measures"/>
  </dimensions>
  <measureGroups count="6">
    <measureGroup name="Calculations" caption="Calculations"/>
    <measureGroup name="Dim_buses" caption="Dim_buses"/>
    <measureGroup name="Dim_DateTable" caption="Dim_DateTable"/>
    <measureGroup name="Dim_demographics" caption="Dim_demographics"/>
    <measureGroup name="Dim_routes" caption="Dim_routes"/>
    <measureGroup name="Facttable_ridership" caption="Facttable_ridership"/>
  </measureGroups>
  <maps count="10">
    <map measureGroup="0" dimension="0"/>
    <map measureGroup="1" dimension="1"/>
    <map measureGroup="1" dimension="4"/>
    <map measureGroup="2" dimension="2"/>
    <map measureGroup="3" dimension="3"/>
    <map measureGroup="4" dimension="4"/>
    <map measureGroup="5" dimension="1"/>
    <map measureGroup="5" dimension="2"/>
    <map measureGroup="5" dimension="4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40CDE8-52C2-4540-9C51-2D10D88EBB63}" name="PivotTable13" cacheId="183" applyNumberFormats="0" applyBorderFormats="0" applyFontFormats="0" applyPatternFormats="0" applyAlignmentFormats="0" applyWidthHeightFormats="1" dataCaption="Values" tag="fc47ad0a-0d89-41c5-bbe3-0882f3fceeb0" updatedVersion="6" minRefreshableVersion="3" useAutoFormatting="1" subtotalHiddenItems="1" rowGrandTotals="0" itemPrintTitles="1" createdVersion="6" indent="0" compact="0" compactData="0" multipleFieldFilters="0" chartFormat="19">
  <location ref="AP13:AQ16" firstHeaderRow="1" firstDataRow="1" firstDataCol="1"/>
  <pivotFields count="3">
    <pivotField compact="0" allDrilled="1" outline="0" subtotalTop="0" showAll="0" measureFilter="1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fld="2" subtotal="count" baseField="0" baseItem="0"/>
  </dataFields>
  <pivotHierarchies count="6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Age"/>
    <pivotHierarchy dragToData="1"/>
    <pivotHierarchy dragToData="1"/>
    <pivotHierarchy dragToData="1"/>
    <pivotHierarchy dragToData="1"/>
    <pivotHierarchy dragToData="1"/>
    <pivotHierarchy dragToData="1" caption="Average of NumberOfRiders2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0" type="count" id="2" iMeasureHier="55">
      <autoFilter ref="A1">
        <filterColumn colId="0">
          <top10 top="0" val="1" filterVal="1"/>
        </filterColumn>
      </autoFilter>
    </filter>
  </filters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demographics]"/>
        <x15:activeTabTopLevelEntity name="[Dim_DateTable]"/>
        <x15:activeTabTopLevelEntity name="[Facttable_ridership]"/>
        <x15:activeTabTopLevelEntity name="[Calculations]"/>
        <x15:activeTabTopLevelEntity name="[Dim_bu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A12977-2090-466B-888E-D90532214F09}" name="PivotTable12" cacheId="180" applyNumberFormats="0" applyBorderFormats="0" applyFontFormats="0" applyPatternFormats="0" applyAlignmentFormats="0" applyWidthHeightFormats="1" dataCaption="Values" tag="bad9952f-c628-46a8-a89f-370c60bb4681" updatedVersion="6" minRefreshableVersion="3" useAutoFormatting="1" subtotalHiddenItems="1" rowGrandTotals="0" itemPrintTitles="1" createdVersion="6" indent="0" compact="0" compactData="0" multipleFieldFilters="0" chartFormat="19">
  <location ref="AP8:AQ10" firstHeaderRow="1" firstDataRow="1" firstDataCol="1"/>
  <pivotFields count="4">
    <pivotField dataField="1" compact="0" outline="0" subtotalTop="0" showAll="0" defaultSubtotal="0"/>
    <pivotField compact="0" allDrilled="1" outline="0" subtotalTop="0" showAll="0" sortType="descending" dataSourceSort="1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allDrilled="1" outline="0" subtotalTop="0" showAll="0" measureFilter="1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1">
    <field x="3"/>
  </rowFields>
  <rowItems count="2">
    <i>
      <x/>
    </i>
    <i>
      <x v="1"/>
    </i>
  </rowItems>
  <colItems count="1">
    <i/>
  </colItems>
  <dataFields count="1">
    <dataField fld="0" subtotal="count" baseField="0" baseItem="0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Age"/>
    <pivotHierarchy dragToData="1"/>
    <pivotHierarchy dragToData="1"/>
    <pivotHierarchy dragToData="1"/>
    <pivotHierarchy dragToData="1"/>
    <pivotHierarchy dragToData="1"/>
    <pivotHierarchy dragToData="1" caption="Average of NumberOfRiders2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2" type="count" id="2" iMeasureHier="55">
      <autoFilter ref="A1">
        <filterColumn colId="0">
          <top10 top="0" val="1" filterVal="1"/>
        </filterColumn>
      </autoFilter>
    </filter>
  </filters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demographics]"/>
        <x15:activeTabTopLevelEntity name="[Dim_DateTable]"/>
        <x15:activeTabTopLevelEntity name="[Facttable_ridership]"/>
        <x15:activeTabTopLevelEntity name="[Calcula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6F51D4-9A37-4572-91BA-954F132BC4A1}" name="PivotTable1" cacheId="177" applyNumberFormats="0" applyBorderFormats="0" applyFontFormats="0" applyPatternFormats="0" applyAlignmentFormats="0" applyWidthHeightFormats="1" dataCaption="Values" tag="3fda93bc-bc66-4a41-987e-47febfa50b7c" updatedVersion="6" minRefreshableVersion="3" useAutoFormatting="1" subtotalHiddenItems="1" rowGrandTotals="0" itemPrintTitles="1" createdVersion="6" indent="0" compact="0" compactData="0" multipleFieldFilters="0" chartFormat="14">
  <location ref="AF8:AG15" firstHeaderRow="1" firstDataRow="1" firstDataCol="1"/>
  <pivotFields count="4">
    <pivotField dataField="1" compact="0" outline="0" subtotalTop="0" showAll="0" defaultSubtotal="0"/>
    <pivotField compact="0" allDrilled="1" outline="0" subtotalTop="0" showAll="0" sortType="descending" dataSourceSort="1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allDrilled="1" outline="0" subtotalTop="0" showAll="0" measureFilter="1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fld="0" subtotal="count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Age"/>
    <pivotHierarchy dragToData="1"/>
    <pivotHierarchy dragToData="1"/>
    <pivotHierarchy dragToData="1"/>
    <pivotHierarchy dragToData="1"/>
    <pivotHierarchy dragToData="1"/>
    <pivotHierarchy dragToData="1" caption="Average of NumberOfRiders2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2" type="count" id="2" iMeasureHier="55">
      <autoFilter ref="A1">
        <filterColumn colId="0">
          <top10 top="0" val="1" filterVal="1"/>
        </filterColumn>
      </autoFilter>
    </filter>
  </filters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demographics]"/>
        <x15:activeTabTopLevelEntity name="[Dim_DateTable]"/>
        <x15:activeTabTopLevelEntity name="[Facttable_ridership]"/>
        <x15:activeTabTopLevelEntity name="[Calcula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4BBAB2-0448-4088-B776-3A8A010F497C}" name="PivotTable6" cacheId="153" applyNumberFormats="0" applyBorderFormats="0" applyFontFormats="0" applyPatternFormats="0" applyAlignmentFormats="0" applyWidthHeightFormats="1" dataCaption="Values" tag="800954d8-04b6-4bcf-a589-ce6021d4a7af" updatedVersion="6" minRefreshableVersion="3" useAutoFormatting="1" subtotalHiddenItems="1" rowGrandTotals="0" colGrandTotals="0" itemPrintTitles="1" createdVersion="6" indent="0" compact="0" compactData="0" multipleFieldFilters="0">
  <location ref="J27:K28" firstHeaderRow="1" firstDataRow="1" firstDataCol="1"/>
  <pivotFields count="2">
    <pivotField axis="axisRow" compact="0" allDrilled="1" outline="0" subtotalTop="0" showAll="0" measureFilter="1" dataSourceSort="1" defaultSubtotal="0" defaultAttributeDrillState="1">
      <items count="1">
        <item x="0"/>
      </items>
    </pivotField>
    <pivotField dataField="1" compact="0" outline="0" subtotalTop="0" showAll="0" defaultSubtotal="0"/>
  </pivotFields>
  <rowFields count="1">
    <field x="0"/>
  </rowFields>
  <rowItems count="1">
    <i>
      <x/>
    </i>
  </rowItems>
  <colItems count="1">
    <i/>
  </colItems>
  <dataFields count="1">
    <dataField fld="1" subtotal="count" baseField="0" baseItem="0"/>
  </dataFields>
  <pivotHierarchies count="6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Age"/>
    <pivotHierarchy dragToData="1"/>
    <pivotHierarchy dragToData="1"/>
    <pivotHierarchy dragToData="1"/>
    <pivotHierarchy dragToData="1"/>
    <pivotHierarchy dragToData="1"/>
    <pivotHierarchy dragToData="1" caption="Average of NumberOfRiders2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0" type="count" id="2" iMeasureHier="55">
      <autoFilter ref="A1">
        <filterColumn colId="0">
          <top10 top="0" val="1" filterVal="1"/>
        </filterColumn>
      </autoFilter>
    </filter>
  </filters>
  <rowHierarchiesUsage count="1"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demographics]"/>
        <x15:activeTabTopLevelEntity name="[Dim_DateTable]"/>
        <x15:activeTabTopLevelEntity name="[Facttable_ridership]"/>
        <x15:activeTabTopLevelEntity name="[Calculations]"/>
        <x15:activeTabTopLevelEntity name="[Dim_rou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D36B7E-53EB-4449-832D-26DC3836DD38}" name="PivotTable11" cacheId="174" applyNumberFormats="0" applyBorderFormats="0" applyFontFormats="0" applyPatternFormats="0" applyAlignmentFormats="0" applyWidthHeightFormats="1" dataCaption="Values" tag="4b769df7-10d4-4dcf-a7f7-78a645ba18db" updatedVersion="6" minRefreshableVersion="3" useAutoFormatting="1" subtotalHiddenItems="1" rowGrandTotals="0" itemPrintTitles="1" createdVersion="6" indent="0" compact="0" compactData="0" multipleFieldFilters="0" chartFormat="5">
  <location ref="Z14:AB16" firstHeaderRow="0" firstDataRow="1" firstDataCol="1"/>
  <pivotFields count="5">
    <pivotField dataField="1" compact="0" outline="0" subtotalTop="0" showAll="0" defaultSubtotal="0"/>
    <pivotField compact="0" allDrilled="1" outline="0" subtotalTop="0" showAll="0" sortType="descending" dataSourceSort="1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allDrilled="1" outline="0" subtotalTop="0" showAll="0" measureFilter="1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3"/>
  </rowFields>
  <rowItems count="2">
    <i>
      <x/>
    </i>
    <i>
      <x v="1"/>
    </i>
  </rowItems>
  <colFields count="1">
    <field x="-2"/>
  </colFields>
  <colItems count="2">
    <i>
      <x/>
    </i>
    <i i="1">
      <x v="1"/>
    </i>
  </colItems>
  <dataFields count="2">
    <dataField fld="0" subtotal="count" baseField="0" baseItem="0"/>
    <dataField name="Total Rider (Passanger)2" fld="4" subtotal="count" showDataAs="percentDiff" baseField="3" baseItem="0" numFmtId="10">
      <extLst>
        <ext xmlns:x14="http://schemas.microsoft.com/office/spreadsheetml/2009/9/main" uri="{E15A36E0-9728-4e99-A89B-3F7291B0FE68}">
          <x14:dataField sourceField="0" uniqueName="[__Xl2].[Measures].[Total Rider (Passanger)]"/>
        </ext>
      </extLst>
    </dataField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Age"/>
    <pivotHierarchy dragToData="1"/>
    <pivotHierarchy dragToData="1"/>
    <pivotHierarchy dragToData="1"/>
    <pivotHierarchy dragToData="1"/>
    <pivotHierarchy dragToData="1"/>
    <pivotHierarchy dragToData="1" caption="Average of NumberOfRiders2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filters count="1">
    <filter fld="2" type="count" id="2" iMeasureHier="55">
      <autoFilter ref="A1">
        <filterColumn colId="0">
          <top10 top="0" val="1" filterVal="1"/>
        </filterColumn>
      </autoFilter>
    </filter>
  </filters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demographics]"/>
        <x15:activeTabTopLevelEntity name="[Dim_DateTable]"/>
        <x15:activeTabTopLevelEntity name="[Facttable_ridership]"/>
        <x15:activeTabTopLevelEntity name="[Calcula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489B07-FEE9-41EA-BDCE-1614CB7C361C}" name="PivotTable10" cacheId="171" applyNumberFormats="0" applyBorderFormats="0" applyFontFormats="0" applyPatternFormats="0" applyAlignmentFormats="0" applyWidthHeightFormats="1" dataCaption="Values" tag="1650d816-8083-41b3-b523-e6de697f4af3" updatedVersion="6" minRefreshableVersion="3" useAutoFormatting="1" subtotalHiddenItems="1" rowGrandTotals="0" itemPrintTitles="1" createdVersion="6" indent="0" compact="0" compactData="0" multipleFieldFilters="0" chartFormat="10">
  <location ref="Z8:AA10" firstHeaderRow="1" firstDataRow="1" firstDataCol="1"/>
  <pivotFields count="4">
    <pivotField dataField="1" compact="0" outline="0" subtotalTop="0" showAll="0" defaultSubtotal="0"/>
    <pivotField compact="0" allDrilled="1" outline="0" subtotalTop="0" showAll="0" sortType="descending" dataSourceSort="1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allDrilled="1" outline="0" subtotalTop="0" showAll="0" measureFilter="1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1">
    <field x="3"/>
  </rowFields>
  <rowItems count="2">
    <i>
      <x/>
    </i>
    <i>
      <x v="1"/>
    </i>
  </rowItems>
  <colItems count="1">
    <i/>
  </colItems>
  <dataFields count="1">
    <dataField fld="0" subtotal="count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Age"/>
    <pivotHierarchy dragToData="1"/>
    <pivotHierarchy dragToData="1"/>
    <pivotHierarchy dragToData="1"/>
    <pivotHierarchy dragToData="1"/>
    <pivotHierarchy dragToData="1"/>
    <pivotHierarchy dragToData="1" caption="Average of NumberOfRiders2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2" type="count" id="2" iMeasureHier="55">
      <autoFilter ref="A1">
        <filterColumn colId="0">
          <top10 top="0" val="1" filterVal="1"/>
        </filterColumn>
      </autoFilter>
    </filter>
  </filters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demographics]"/>
        <x15:activeTabTopLevelEntity name="[Dim_DateTable]"/>
        <x15:activeTabTopLevelEntity name="[Facttable_ridership]"/>
        <x15:activeTabTopLevelEntity name="[Calcula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28677B-FFE1-4A07-9BD5-CFC4EB2DFC75}" name="PivotTable5" cacheId="156" applyNumberFormats="0" applyBorderFormats="0" applyFontFormats="0" applyPatternFormats="0" applyAlignmentFormats="0" applyWidthHeightFormats="1" dataCaption="Values" tag="0bb5da99-742c-476f-a811-9be537b22822" updatedVersion="6" minRefreshableVersion="3" useAutoFormatting="1" subtotalHiddenItems="1" rowGrandTotals="0" colGrandTotals="0" itemPrintTitles="1" createdVersion="6" indent="0" compact="0" compactData="0" multipleFieldFilters="0">
  <location ref="J22:K23" firstHeaderRow="1" firstDataRow="1" firstDataCol="1"/>
  <pivotFields count="2">
    <pivotField axis="axisRow" compact="0" allDrilled="1" outline="0" subtotalTop="0" showAll="0" measureFilter="1" dataSourceSort="1" defaultSubtotal="0" defaultAttributeDrillState="1">
      <items count="1">
        <item x="0"/>
      </items>
    </pivotField>
    <pivotField dataField="1" compact="0" outline="0" subtotalTop="0" showAll="0" defaultSubtotal="0"/>
  </pivotFields>
  <rowFields count="1">
    <field x="0"/>
  </rowFields>
  <rowItems count="1">
    <i>
      <x/>
    </i>
  </rowItems>
  <colItems count="1">
    <i/>
  </colItems>
  <dataFields count="1">
    <dataField fld="1" subtotal="count" baseField="0" baseItem="0"/>
  </dataFields>
  <pivotHierarchies count="6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Age"/>
    <pivotHierarchy dragToData="1"/>
    <pivotHierarchy dragToData="1"/>
    <pivotHierarchy dragToData="1"/>
    <pivotHierarchy dragToData="1"/>
    <pivotHierarchy dragToData="1"/>
    <pivotHierarchy dragToData="1" caption="Average of NumberOfRiders2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0" type="count" id="1" iMeasureHier="55">
      <autoFilter ref="A1">
        <filterColumn colId="0">
          <top10 val="1" filterVal="1"/>
        </filterColumn>
      </autoFilter>
    </filter>
  </filters>
  <rowHierarchiesUsage count="1"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demographics]"/>
        <x15:activeTabTopLevelEntity name="[Dim_DateTable]"/>
        <x15:activeTabTopLevelEntity name="[Facttable_ridership]"/>
        <x15:activeTabTopLevelEntity name="[Calculations]"/>
        <x15:activeTabTopLevelEntity name="[Dim_rou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5F5DEF-0668-4A64-95C3-4B64FA5187F7}" name="PivotTable9" cacheId="168" applyNumberFormats="0" applyBorderFormats="0" applyFontFormats="0" applyPatternFormats="0" applyAlignmentFormats="0" applyWidthHeightFormats="1" dataCaption="Values" tag="3af6b614-6f96-4ecb-ad58-08f55e7701f1" updatedVersion="6" minRefreshableVersion="3" useAutoFormatting="1" subtotalHiddenItems="1" rowGrandTotals="0" itemPrintTitles="1" createdVersion="6" indent="0" compact="0" compactData="0" multipleFieldFilters="0" chartFormat="5">
  <location ref="R27:S28" firstHeaderRow="1" firstDataRow="1" firstDataCol="1"/>
  <pivotFields count="3">
    <pivotField dataField="1" compact="0" outline="0" subtotalTop="0" showAll="0" defaultSubtotal="0"/>
    <pivotField compact="0" allDrilled="1" outline="0" subtotalTop="0" showAll="0" sortType="descending" dataSourceSort="1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allDrilled="1" outline="0" subtotalTop="0" showAll="0" measureFilter="1" dataSourceSort="1" defaultSubtotal="0" defaultAttributeDrillState="1">
      <items count="1">
        <item x="0"/>
      </items>
    </pivotField>
  </pivotFields>
  <rowFields count="1">
    <field x="2"/>
  </rowFields>
  <rowItems count="1">
    <i>
      <x/>
    </i>
  </rowItems>
  <colItems count="1">
    <i/>
  </colItems>
  <dataFields count="1">
    <dataField fld="0" subtotal="count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Age"/>
    <pivotHierarchy dragToData="1"/>
    <pivotHierarchy dragToData="1"/>
    <pivotHierarchy dragToData="1"/>
    <pivotHierarchy dragToData="1"/>
    <pivotHierarchy dragToData="1"/>
    <pivotHierarchy dragToData="1" caption="Average of NumberOfRiders2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2" type="count" id="2" iMeasureHier="55">
      <autoFilter ref="A1">
        <filterColumn colId="0">
          <top10 top="0" val="1" filterVal="1"/>
        </filterColumn>
      </autoFilter>
    </filter>
  </filters>
  <rowHierarchiesUsage count="1">
    <rowHierarchyUsage hierarchyUsage="2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demographics]"/>
        <x15:activeTabTopLevelEntity name="[Dim_DateTable]"/>
        <x15:activeTabTopLevelEntity name="[Facttable_ridership]"/>
        <x15:activeTabTopLevelEntity name="[Calcula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2E34BF-8557-4FA0-9475-7E6C27935630}" name="PivotTable4" cacheId="159" applyNumberFormats="0" applyBorderFormats="0" applyFontFormats="0" applyPatternFormats="0" applyAlignmentFormats="0" applyWidthHeightFormats="1" dataCaption="Values" tag="df37cdea-b20c-4e9f-b7b3-45e5323c458e" updatedVersion="6" minRefreshableVersion="3" useAutoFormatting="1" subtotalHiddenItems="1" itemPrintTitles="1" createdVersion="6" indent="0" outline="1" outlineData="1" multipleFieldFilters="0">
  <location ref="J17:K18" firstHeaderRow="0" firstDataRow="1" firstDataCol="0"/>
  <pivotFields count="2"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0" subtotal="count" baseField="0" baseItem="0"/>
  </dataFields>
  <pivotHierarchies count="6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Age"/>
    <pivotHierarchy dragToData="1"/>
    <pivotHierarchy dragToData="1"/>
    <pivotHierarchy dragToData="1"/>
    <pivotHierarchy dragToData="1"/>
    <pivotHierarchy dragToData="1"/>
    <pivotHierarchy dragToData="1" caption="Average of NumberOfRiders2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demographics]"/>
        <x15:activeTabTopLevelEntity name="[Dim_DateTable]"/>
        <x15:activeTabTopLevelEntity name="[Facttable_ridership]"/>
        <x15:activeTabTopLevelEntity name="[Calcula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5D0A85-CD9A-4930-9DC9-832778F27C16}" name="PivotTable3" cacheId="147" applyNumberFormats="0" applyBorderFormats="0" applyFontFormats="0" applyPatternFormats="0" applyAlignmentFormats="0" applyWidthHeightFormats="1" dataCaption="Values" tag="8dd0e0eb-19de-41ff-93e9-fee2ae9eacca" updatedVersion="6" minRefreshableVersion="3" useAutoFormatting="1" itemPrintTitles="1" createdVersion="6" indent="0" outline="1" outlineData="1" multipleFieldFilters="0">
  <location ref="J14:L15" firstHeaderRow="0" firstDataRow="1" firstDataCol="0"/>
  <pivotFields count="3">
    <pivotField dataField="1" subtotalTop="0" showAll="0" defaultSubtotal="0"/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Count of Age" fld="1" subtotal="count" baseField="0" baseItem="0"/>
    <dataField name="Count of Occupation" fld="0" subtotal="count" baseField="0" baseItem="0"/>
    <dataField fld="2" subtotal="count" baseField="0" baseItem="0"/>
  </dataFields>
  <pivotHierarchies count="6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Age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demographics]"/>
        <x15:activeTabTopLevelEntity name="[Dim_DateTable]"/>
        <x15:activeTabTopLevelEntity name="[Facttable_ridership]"/>
        <x15:activeTabTopLevelEntity name="[Calcula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E47D2-F7D2-4CB0-88B8-7FF22099BEF9}" name="PivotTable8" cacheId="165" applyNumberFormats="0" applyBorderFormats="0" applyFontFormats="0" applyPatternFormats="0" applyAlignmentFormats="0" applyWidthHeightFormats="1" dataCaption="Values" tag="40b773d9-6632-4649-9e9f-d7ae9777197c" updatedVersion="6" minRefreshableVersion="3" useAutoFormatting="1" subtotalHiddenItems="1" rowGrandTotals="0" itemPrintTitles="1" createdVersion="6" indent="0" compact="0" compactData="0" multipleFieldFilters="0" chartFormat="5">
  <location ref="R23:S24" firstHeaderRow="1" firstDataRow="1" firstDataCol="1"/>
  <pivotFields count="3">
    <pivotField dataField="1" compact="0" outline="0" subtotalTop="0" showAll="0" defaultSubtotal="0"/>
    <pivotField compact="0" allDrilled="1" outline="0" subtotalTop="0" showAll="0" sortType="descending" dataSourceSort="1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allDrilled="1" outline="0" subtotalTop="0" showAll="0" measureFilter="1" dataSourceSort="1" defaultSubtotal="0" defaultAttributeDrillState="1">
      <items count="1">
        <item x="0"/>
      </items>
    </pivotField>
  </pivotFields>
  <rowFields count="1">
    <field x="2"/>
  </rowFields>
  <rowItems count="1">
    <i>
      <x/>
    </i>
  </rowItems>
  <colItems count="1">
    <i/>
  </colItems>
  <dataFields count="1">
    <dataField fld="0" subtotal="count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Age"/>
    <pivotHierarchy dragToData="1"/>
    <pivotHierarchy dragToData="1"/>
    <pivotHierarchy dragToData="1"/>
    <pivotHierarchy dragToData="1"/>
    <pivotHierarchy dragToData="1"/>
    <pivotHierarchy dragToData="1" caption="Average of NumberOfRiders2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2" type="count" id="1" iMeasureHier="55">
      <autoFilter ref="A1">
        <filterColumn colId="0">
          <top10 val="1" filterVal="1"/>
        </filterColumn>
      </autoFilter>
    </filter>
  </filters>
  <rowHierarchiesUsage count="1">
    <rowHierarchyUsage hierarchyUsage="2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demographics]"/>
        <x15:activeTabTopLevelEntity name="[Dim_DateTable]"/>
        <x15:activeTabTopLevelEntity name="[Facttable_ridership]"/>
        <x15:activeTabTopLevelEntity name="[Calcula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BD185F-AF2A-46FA-B926-02EEB52CFDA4}" name="PivotTable2" cacheId="162" applyNumberFormats="0" applyBorderFormats="0" applyFontFormats="0" applyPatternFormats="0" applyAlignmentFormats="0" applyWidthHeightFormats="1" dataCaption="Values" missingCaption="0" tag="3bb094c7-e176-408f-8c7f-e9eb6dde5f3d" updatedVersion="6" minRefreshableVersion="3" useAutoFormatting="1" subtotalHiddenItems="1" rowGrandTotals="0" colGrandTotals="0" itemPrintTitles="1" createdVersion="6" indent="0" compact="0" compactData="0" multipleFieldFilters="0">
  <location ref="B14:F54" firstHeaderRow="0" firstDataRow="1" firstDataCol="1"/>
  <pivotFields count="5"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</items>
    </pivotField>
  </pivotFields>
  <rowFields count="1">
    <field x="4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Age" fld="0" subtotal="count" baseField="0" baseItem="0"/>
    <dataField name="Count of BusID" fld="1" subtotal="count" baseField="0" baseItem="0"/>
    <dataField fld="2" subtotal="count" baseField="0" baseItem="0"/>
    <dataField fld="3" subtotal="count" baseField="0" baseItem="0"/>
  </dataFields>
  <pivotHierarchies count="6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Age"/>
    <pivotHierarchy dragToData="1"/>
    <pivotHierarchy dragToData="1" caption="Count of BusID"/>
    <pivotHierarchy dragToData="1"/>
    <pivotHierarchy dragToData="1" caption="Count of BusID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demographics]"/>
        <x15:activeTabTopLevelEntity name="[Dim_DateTable]"/>
        <x15:activeTabTopLevelEntity name="[Facttable_ridership]"/>
        <x15:activeTabTopLevelEntity name="[Dim_buses]"/>
        <x15:activeTabTopLevelEntity name="[Calcula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C9EFEB-D6C7-4B23-8054-78CA590CB21B}" name="PivotTable7" cacheId="150" applyNumberFormats="0" applyBorderFormats="0" applyFontFormats="0" applyPatternFormats="0" applyAlignmentFormats="0" applyWidthHeightFormats="1" dataCaption="Values" tag="7bf69f62-85e2-451c-8c63-9119340260c9" updatedVersion="6" minRefreshableVersion="3" useAutoFormatting="1" subtotalHiddenItems="1" rowGrandTotals="0" itemPrintTitles="1" createdVersion="6" indent="0" compact="0" compactData="0" multipleFieldFilters="0" chartFormat="5">
  <location ref="R16:S19" firstHeaderRow="1" firstDataRow="1" firstDataCol="1"/>
  <pivotFields count="2">
    <pivotField dataField="1" compact="0" outline="0" subtotalTop="0" showAll="0" defaultSubtotal="0"/>
    <pivotField axis="axisRow" compact="0" allDrilled="1" outline="0" subtotalTop="0" showAll="0" sortType="descending" dataSourceSort="1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"/>
  </rowFields>
  <rowItems count="3">
    <i>
      <x v="2"/>
    </i>
    <i>
      <x/>
    </i>
    <i>
      <x v="1"/>
    </i>
  </rowItems>
  <colItems count="1">
    <i/>
  </colItems>
  <dataFields count="1">
    <dataField fld="0" subtotal="count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Age"/>
    <pivotHierarchy dragToData="1"/>
    <pivotHierarchy dragToData="1"/>
    <pivotHierarchy dragToData="1"/>
    <pivotHierarchy dragToData="1"/>
    <pivotHierarchy dragToData="1"/>
    <pivotHierarchy dragToData="1" caption="Average of NumberOfRiders2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demographics]"/>
        <x15:activeTabTopLevelEntity name="[Dim_DateTable]"/>
        <x15:activeTabTopLevelEntity name="[Facttable_ridership]"/>
        <x15:activeTabTopLevelEntity name="[Calcula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drawing" Target="../drawings/drawing1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F77B7-4CD6-4245-B836-7B9D4A25F109}">
  <dimension ref="B3:AT54"/>
  <sheetViews>
    <sheetView topLeftCell="AJ4" workbookViewId="0">
      <selection activeCell="AT20" sqref="AT20"/>
    </sheetView>
  </sheetViews>
  <sheetFormatPr defaultRowHeight="15" x14ac:dyDescent="0.25"/>
  <cols>
    <col min="2" max="2" width="13.7109375" bestFit="1" customWidth="1"/>
    <col min="3" max="3" width="12.42578125" bestFit="1" customWidth="1"/>
    <col min="4" max="4" width="14.140625" bestFit="1" customWidth="1"/>
    <col min="5" max="5" width="15.7109375" bestFit="1" customWidth="1"/>
    <col min="6" max="6" width="12.140625" bestFit="1" customWidth="1"/>
    <col min="7" max="7" width="12.140625" customWidth="1"/>
    <col min="8" max="8" width="2.85546875" style="6" customWidth="1"/>
    <col min="9" max="9" width="10.7109375" bestFit="1" customWidth="1"/>
    <col min="10" max="10" width="21.7109375" bestFit="1" customWidth="1"/>
    <col min="11" max="11" width="16.140625" bestFit="1" customWidth="1"/>
    <col min="12" max="12" width="12.140625" bestFit="1" customWidth="1"/>
    <col min="13" max="14" width="21.7109375" customWidth="1"/>
    <col min="15" max="15" width="15.28515625" customWidth="1"/>
    <col min="16" max="16" width="3.7109375" style="6" customWidth="1"/>
    <col min="17" max="17" width="10.7109375" bestFit="1" customWidth="1"/>
    <col min="18" max="18" width="11.42578125" bestFit="1" customWidth="1"/>
    <col min="19" max="20" width="21.7109375" bestFit="1" customWidth="1"/>
    <col min="21" max="21" width="21.85546875" bestFit="1" customWidth="1"/>
    <col min="22" max="22" width="11.5703125" bestFit="1" customWidth="1"/>
    <col min="23" max="23" width="10.7109375" bestFit="1" customWidth="1"/>
    <col min="24" max="24" width="3.85546875" style="12" customWidth="1"/>
    <col min="25" max="25" width="6.7109375" customWidth="1"/>
    <col min="26" max="26" width="7.28515625" bestFit="1" customWidth="1"/>
    <col min="27" max="27" width="21.7109375" bestFit="1" customWidth="1"/>
    <col min="28" max="28" width="22.7109375" bestFit="1" customWidth="1"/>
    <col min="29" max="29" width="10.7109375" bestFit="1" customWidth="1"/>
    <col min="30" max="30" width="3.5703125" style="6" customWidth="1"/>
    <col min="31" max="31" width="10.7109375" bestFit="1" customWidth="1"/>
    <col min="32" max="32" width="12.28515625" bestFit="1" customWidth="1"/>
    <col min="33" max="33" width="21.7109375" bestFit="1" customWidth="1"/>
    <col min="34" max="34" width="8.7109375" bestFit="1" customWidth="1"/>
    <col min="35" max="35" width="123.85546875" bestFit="1" customWidth="1"/>
    <col min="36" max="36" width="22.140625" customWidth="1"/>
    <col min="37" max="37" width="9.7109375" customWidth="1"/>
    <col min="38" max="38" width="14.5703125" bestFit="1" customWidth="1"/>
    <col min="40" max="40" width="4.7109375" style="6" customWidth="1"/>
    <col min="42" max="42" width="24.85546875" bestFit="1" customWidth="1"/>
    <col min="43" max="44" width="21.7109375" bestFit="1" customWidth="1"/>
    <col min="46" max="46" width="13.5703125" customWidth="1"/>
  </cols>
  <sheetData>
    <row r="3" spans="2:43" x14ac:dyDescent="0.25">
      <c r="E3" s="1"/>
    </row>
    <row r="8" spans="2:43" x14ac:dyDescent="0.25">
      <c r="Z8" s="2" t="s">
        <v>60</v>
      </c>
      <c r="AA8" t="s">
        <v>49</v>
      </c>
      <c r="AF8" s="2" t="s">
        <v>67</v>
      </c>
      <c r="AG8" t="s">
        <v>49</v>
      </c>
      <c r="AI8" s="17" t="str">
        <f>AF8</f>
        <v>Day Name</v>
      </c>
      <c r="AJ8" s="17" t="str">
        <f>AG8</f>
        <v>Total Rider (Passanger)</v>
      </c>
      <c r="AK8" s="17" t="s">
        <v>75</v>
      </c>
      <c r="AL8" s="17" t="s">
        <v>76</v>
      </c>
      <c r="AP8" s="2" t="s">
        <v>78</v>
      </c>
      <c r="AQ8" t="s">
        <v>49</v>
      </c>
    </row>
    <row r="9" spans="2:43" x14ac:dyDescent="0.25">
      <c r="Z9">
        <v>2023</v>
      </c>
      <c r="AA9" s="4">
        <v>5654</v>
      </c>
      <c r="AF9" t="s">
        <v>71</v>
      </c>
      <c r="AG9" s="4">
        <v>1185</v>
      </c>
      <c r="AI9" s="16" t="str">
        <f t="shared" ref="AI9:AJ15" si="0">AF9</f>
        <v>Sun</v>
      </c>
      <c r="AJ9" s="16">
        <f t="shared" si="0"/>
        <v>1185</v>
      </c>
      <c r="AK9" s="16">
        <f>AVERAGE($AJ$9:$AJ$15)</f>
        <v>941</v>
      </c>
      <c r="AL9" s="16">
        <f>IF(AJ9&gt;AK9,AJ9,"")</f>
        <v>1185</v>
      </c>
      <c r="AP9" t="s">
        <v>80</v>
      </c>
      <c r="AQ9" s="4">
        <v>933</v>
      </c>
    </row>
    <row r="10" spans="2:43" x14ac:dyDescent="0.25">
      <c r="Z10">
        <v>2024</v>
      </c>
      <c r="AA10" s="4">
        <v>933</v>
      </c>
      <c r="AF10" t="s">
        <v>69</v>
      </c>
      <c r="AG10" s="4">
        <v>1085</v>
      </c>
      <c r="AI10" s="16" t="str">
        <f t="shared" si="0"/>
        <v>Mon</v>
      </c>
      <c r="AJ10" s="16">
        <f t="shared" si="0"/>
        <v>1085</v>
      </c>
      <c r="AK10" s="16">
        <f t="shared" ref="AK10:AK15" si="1">AVERAGE($AJ$9:$AJ$15)</f>
        <v>941</v>
      </c>
      <c r="AL10" s="16">
        <f t="shared" ref="AL10:AL15" si="2">IF(AJ10&gt;AK10,AJ10,"")</f>
        <v>1085</v>
      </c>
      <c r="AP10" t="s">
        <v>79</v>
      </c>
      <c r="AQ10" s="4">
        <v>5654</v>
      </c>
    </row>
    <row r="11" spans="2:43" x14ac:dyDescent="0.25">
      <c r="AF11" t="s">
        <v>73</v>
      </c>
      <c r="AG11" s="4">
        <v>983</v>
      </c>
      <c r="AI11" s="16" t="str">
        <f t="shared" si="0"/>
        <v>Tue</v>
      </c>
      <c r="AJ11" s="16">
        <f t="shared" si="0"/>
        <v>983</v>
      </c>
      <c r="AK11" s="16">
        <f t="shared" si="1"/>
        <v>941</v>
      </c>
      <c r="AL11" s="16">
        <f t="shared" si="2"/>
        <v>983</v>
      </c>
    </row>
    <row r="12" spans="2:43" x14ac:dyDescent="0.25">
      <c r="AF12" t="s">
        <v>74</v>
      </c>
      <c r="AG12" s="4">
        <v>887</v>
      </c>
      <c r="AI12" s="16" t="str">
        <f t="shared" si="0"/>
        <v>Wed</v>
      </c>
      <c r="AJ12" s="16">
        <f t="shared" si="0"/>
        <v>887</v>
      </c>
      <c r="AK12" s="16">
        <f t="shared" si="1"/>
        <v>941</v>
      </c>
      <c r="AL12" s="16" t="str">
        <f t="shared" si="2"/>
        <v/>
      </c>
    </row>
    <row r="13" spans="2:43" x14ac:dyDescent="0.25">
      <c r="AF13" t="s">
        <v>72</v>
      </c>
      <c r="AG13" s="4">
        <v>889</v>
      </c>
      <c r="AI13" s="16" t="str">
        <f t="shared" si="0"/>
        <v>Thu</v>
      </c>
      <c r="AJ13" s="16">
        <f t="shared" si="0"/>
        <v>889</v>
      </c>
      <c r="AK13" s="16">
        <f t="shared" si="1"/>
        <v>941</v>
      </c>
      <c r="AL13" s="16" t="str">
        <f t="shared" si="2"/>
        <v/>
      </c>
      <c r="AP13" s="2" t="s">
        <v>81</v>
      </c>
      <c r="AQ13" t="s">
        <v>85</v>
      </c>
    </row>
    <row r="14" spans="2:43" x14ac:dyDescent="0.25">
      <c r="B14" s="2" t="s">
        <v>8</v>
      </c>
      <c r="C14" t="s">
        <v>4</v>
      </c>
      <c r="D14" t="s">
        <v>5</v>
      </c>
      <c r="E14" t="s">
        <v>6</v>
      </c>
      <c r="F14" t="s">
        <v>7</v>
      </c>
      <c r="J14" t="s">
        <v>4</v>
      </c>
      <c r="K14" t="s">
        <v>3</v>
      </c>
      <c r="L14" t="s">
        <v>7</v>
      </c>
      <c r="Z14" s="2" t="s">
        <v>60</v>
      </c>
      <c r="AA14" t="s">
        <v>49</v>
      </c>
      <c r="AB14" t="s">
        <v>61</v>
      </c>
      <c r="AF14" t="s">
        <v>68</v>
      </c>
      <c r="AG14" s="4">
        <v>762</v>
      </c>
      <c r="AI14" s="16" t="str">
        <f t="shared" si="0"/>
        <v>Fri</v>
      </c>
      <c r="AJ14" s="16">
        <f t="shared" si="0"/>
        <v>762</v>
      </c>
      <c r="AK14" s="16">
        <f t="shared" si="1"/>
        <v>941</v>
      </c>
      <c r="AL14" s="16" t="str">
        <f t="shared" si="2"/>
        <v/>
      </c>
      <c r="AP14" t="s">
        <v>82</v>
      </c>
      <c r="AQ14" s="4">
        <v>36</v>
      </c>
    </row>
    <row r="15" spans="2:43" x14ac:dyDescent="0.25">
      <c r="B15" t="s">
        <v>9</v>
      </c>
      <c r="C15" s="3">
        <v>100</v>
      </c>
      <c r="D15" s="3">
        <v>4</v>
      </c>
      <c r="E15" s="4">
        <v>4</v>
      </c>
      <c r="F15" s="5">
        <v>42.69</v>
      </c>
      <c r="G15" s="5"/>
      <c r="H15" s="8"/>
      <c r="J15" s="3">
        <v>100</v>
      </c>
      <c r="K15" s="3">
        <v>100</v>
      </c>
      <c r="L15" s="5">
        <v>42.69</v>
      </c>
      <c r="M15" s="5"/>
      <c r="N15" s="5"/>
      <c r="Z15">
        <v>2023</v>
      </c>
      <c r="AA15" s="4">
        <v>5654</v>
      </c>
      <c r="AB15" s="13"/>
      <c r="AF15" t="s">
        <v>70</v>
      </c>
      <c r="AG15" s="4">
        <v>796</v>
      </c>
      <c r="AI15" s="16" t="str">
        <f t="shared" si="0"/>
        <v>Sat</v>
      </c>
      <c r="AJ15" s="16">
        <f t="shared" si="0"/>
        <v>796</v>
      </c>
      <c r="AK15" s="16">
        <f t="shared" si="1"/>
        <v>941</v>
      </c>
      <c r="AL15" s="16" t="str">
        <f t="shared" si="2"/>
        <v/>
      </c>
      <c r="AP15" t="s">
        <v>83</v>
      </c>
      <c r="AQ15" s="4">
        <v>19</v>
      </c>
    </row>
    <row r="16" spans="2:43" x14ac:dyDescent="0.25">
      <c r="B16" t="s">
        <v>10</v>
      </c>
      <c r="C16" s="3">
        <v>100</v>
      </c>
      <c r="D16" s="3">
        <v>9</v>
      </c>
      <c r="E16" s="4">
        <v>9</v>
      </c>
      <c r="F16" s="5">
        <v>42.69</v>
      </c>
      <c r="G16" s="5"/>
      <c r="H16" s="8"/>
      <c r="R16" s="2" t="s">
        <v>56</v>
      </c>
      <c r="S16" t="s">
        <v>49</v>
      </c>
      <c r="Z16">
        <v>2024</v>
      </c>
      <c r="AA16" s="4">
        <v>933</v>
      </c>
      <c r="AB16" s="13">
        <v>-0.83498408206579411</v>
      </c>
      <c r="AP16" t="s">
        <v>84</v>
      </c>
      <c r="AQ16" s="4">
        <v>29</v>
      </c>
    </row>
    <row r="17" spans="2:46" x14ac:dyDescent="0.25">
      <c r="B17" t="s">
        <v>11</v>
      </c>
      <c r="C17" s="3">
        <v>100</v>
      </c>
      <c r="D17" s="3">
        <v>4</v>
      </c>
      <c r="E17" s="4">
        <v>4</v>
      </c>
      <c r="F17" s="5">
        <v>42.69</v>
      </c>
      <c r="G17" s="5"/>
      <c r="H17" s="8"/>
      <c r="J17" t="s">
        <v>49</v>
      </c>
      <c r="K17" t="s">
        <v>50</v>
      </c>
      <c r="M17" t="str">
        <f>J17</f>
        <v>Total Rider (Passanger)</v>
      </c>
      <c r="N17" t="str">
        <f>K17</f>
        <v>Avg Ride Per Trip</v>
      </c>
      <c r="Q17" s="2"/>
      <c r="R17" t="s">
        <v>0</v>
      </c>
      <c r="S17" s="4">
        <v>3021</v>
      </c>
      <c r="T17" s="2"/>
      <c r="U17" s="2"/>
      <c r="V17" s="2"/>
      <c r="W17" s="2"/>
      <c r="Y17" s="2"/>
      <c r="Z17" s="2"/>
      <c r="AA17" s="2"/>
      <c r="AB17" s="2"/>
      <c r="AC17" s="2"/>
      <c r="AE17" s="2"/>
      <c r="AF17" s="2"/>
      <c r="AG17" s="2"/>
      <c r="AH17" s="2"/>
      <c r="AI17" s="2"/>
      <c r="AJ17" s="2"/>
      <c r="AK17" s="2"/>
      <c r="AL17" s="2"/>
    </row>
    <row r="18" spans="2:46" x14ac:dyDescent="0.25">
      <c r="B18" t="s">
        <v>12</v>
      </c>
      <c r="C18" s="3">
        <v>100</v>
      </c>
      <c r="D18" s="3">
        <v>4</v>
      </c>
      <c r="E18" s="4">
        <v>4</v>
      </c>
      <c r="F18" s="5">
        <v>42.69</v>
      </c>
      <c r="G18" s="5"/>
      <c r="H18" s="8"/>
      <c r="J18" s="4">
        <v>6587</v>
      </c>
      <c r="K18" s="4">
        <v>32.935000000000002</v>
      </c>
      <c r="M18" s="4">
        <f>J18</f>
        <v>6587</v>
      </c>
      <c r="N18" s="5">
        <f>K18</f>
        <v>32.935000000000002</v>
      </c>
      <c r="R18" t="s">
        <v>2</v>
      </c>
      <c r="S18" s="4">
        <v>2119</v>
      </c>
      <c r="AA18" t="s">
        <v>62</v>
      </c>
      <c r="AB18" t="s">
        <v>63</v>
      </c>
    </row>
    <row r="19" spans="2:46" x14ac:dyDescent="0.25">
      <c r="B19" t="s">
        <v>13</v>
      </c>
      <c r="C19" s="3">
        <v>100</v>
      </c>
      <c r="D19" s="3">
        <v>3</v>
      </c>
      <c r="E19" s="4">
        <v>3</v>
      </c>
      <c r="F19" s="5">
        <v>42.69</v>
      </c>
      <c r="G19" s="5"/>
      <c r="H19" s="8"/>
      <c r="R19" t="s">
        <v>1</v>
      </c>
      <c r="S19" s="4">
        <v>1447</v>
      </c>
      <c r="AA19" s="13">
        <f>(AA10-AA9)/AA9</f>
        <v>-0.83498408206579411</v>
      </c>
      <c r="AB19" t="str">
        <f>IF(AA19&lt;0,AA24,AA23)</f>
        <v>▼</v>
      </c>
      <c r="AP19" s="17" t="str">
        <f>AP13</f>
        <v>Bus Utilization Category</v>
      </c>
      <c r="AQ19" s="17" t="str">
        <f>AQ13</f>
        <v>Total Buses</v>
      </c>
      <c r="AR19" s="17" t="s">
        <v>86</v>
      </c>
      <c r="AS19" s="17" t="s">
        <v>87</v>
      </c>
    </row>
    <row r="20" spans="2:46" x14ac:dyDescent="0.25">
      <c r="B20" t="s">
        <v>14</v>
      </c>
      <c r="C20" s="3">
        <v>100</v>
      </c>
      <c r="D20" s="3">
        <v>3</v>
      </c>
      <c r="E20" s="4">
        <v>3</v>
      </c>
      <c r="F20" s="5">
        <v>42.69</v>
      </c>
      <c r="G20" s="5"/>
      <c r="H20" s="8"/>
      <c r="O20" s="2"/>
      <c r="P20" s="7"/>
      <c r="Q20" s="2"/>
      <c r="T20" s="2"/>
      <c r="U20" s="2"/>
      <c r="V20" s="2"/>
      <c r="W20" s="2"/>
      <c r="Y20" s="2"/>
      <c r="Z20" s="2"/>
      <c r="AA20" s="2"/>
      <c r="AB20" s="2"/>
      <c r="AC20" s="2"/>
      <c r="AE20" s="2"/>
      <c r="AF20" s="2"/>
      <c r="AG20" s="2"/>
      <c r="AH20" s="2"/>
      <c r="AI20" s="18" t="s">
        <v>66</v>
      </c>
      <c r="AJ20" s="2"/>
      <c r="AK20" s="2"/>
      <c r="AL20" s="2"/>
      <c r="AP20" s="16" t="str">
        <f t="shared" ref="AP20:AQ22" si="3">AP14</f>
        <v>Over-Utilized</v>
      </c>
      <c r="AQ20" s="16">
        <f t="shared" si="3"/>
        <v>36</v>
      </c>
      <c r="AR20" s="20">
        <f>AQ20/SUM($AQ$20:$AQ$22)</f>
        <v>0.42857142857142855</v>
      </c>
      <c r="AS20" s="20">
        <f>1-AR20</f>
        <v>0.5714285714285714</v>
      </c>
      <c r="AT20" t="str">
        <f>AQ20 &amp; "Total Buses"</f>
        <v>36Total Buses</v>
      </c>
    </row>
    <row r="21" spans="2:46" x14ac:dyDescent="0.25">
      <c r="B21" t="s">
        <v>15</v>
      </c>
      <c r="C21" s="3">
        <v>100</v>
      </c>
      <c r="D21" s="3">
        <v>3</v>
      </c>
      <c r="E21" s="4">
        <v>3</v>
      </c>
      <c r="F21" s="5">
        <v>42.69</v>
      </c>
      <c r="G21" s="5"/>
      <c r="H21" s="8"/>
      <c r="J21" t="s">
        <v>53</v>
      </c>
      <c r="V21" s="2"/>
      <c r="W21" s="2"/>
      <c r="Y21" s="2"/>
      <c r="Z21" s="2"/>
      <c r="AB21" s="2"/>
      <c r="AC21" s="2"/>
      <c r="AE21" s="2"/>
      <c r="AF21" s="2"/>
      <c r="AG21" s="2"/>
      <c r="AH21" s="2"/>
      <c r="AI21" s="19" t="str">
        <f>"Focus on Highlighted Weekdays:they exceeded the "&amp;AK9&amp;" Passenger Average and acccount for "&amp;TEXT(AI24,"0.0%")&amp;" pf the Total Passengers"</f>
        <v>Focus on Highlighted Weekdays:they exceeded the 941 Passenger Average and acccount for 49.4% pf the Total Passengers</v>
      </c>
      <c r="AJ21" s="2"/>
      <c r="AK21" s="2"/>
      <c r="AL21" s="2"/>
      <c r="AP21" s="16" t="str">
        <f t="shared" si="3"/>
        <v>Under-Utilized</v>
      </c>
      <c r="AQ21" s="16">
        <f t="shared" si="3"/>
        <v>19</v>
      </c>
      <c r="AR21" s="20">
        <f t="shared" ref="AR21:AR22" si="4">AQ21/SUM($AQ$20:$AQ$22)</f>
        <v>0.22619047619047619</v>
      </c>
      <c r="AS21" s="20">
        <f t="shared" ref="AS21:AS22" si="5">1-AR21</f>
        <v>0.77380952380952384</v>
      </c>
      <c r="AT21" t="str">
        <f t="shared" ref="AT21:AT22" si="6">AQ21 &amp; "Total Buses"</f>
        <v>19Total Buses</v>
      </c>
    </row>
    <row r="22" spans="2:46" x14ac:dyDescent="0.25">
      <c r="B22" t="s">
        <v>16</v>
      </c>
      <c r="C22" s="3">
        <v>100</v>
      </c>
      <c r="D22" s="3">
        <v>4</v>
      </c>
      <c r="E22" s="4">
        <v>4</v>
      </c>
      <c r="F22" s="5">
        <v>42.69</v>
      </c>
      <c r="G22" s="5"/>
      <c r="H22" s="8"/>
      <c r="J22" s="2" t="s">
        <v>55</v>
      </c>
      <c r="K22" t="s">
        <v>49</v>
      </c>
      <c r="M22" t="str">
        <f>J22</f>
        <v>RouteName</v>
      </c>
      <c r="N22" t="str">
        <f>K22</f>
        <v>Total Rider (Passanger)</v>
      </c>
      <c r="R22" t="s">
        <v>59</v>
      </c>
      <c r="U22" t="str">
        <f>R22</f>
        <v>Peak Hour of Operation</v>
      </c>
      <c r="AP22" s="16" t="str">
        <f t="shared" si="3"/>
        <v>Well-Utilized</v>
      </c>
      <c r="AQ22" s="16">
        <f t="shared" si="3"/>
        <v>29</v>
      </c>
      <c r="AR22" s="20">
        <f t="shared" si="4"/>
        <v>0.34523809523809523</v>
      </c>
      <c r="AS22" s="20">
        <f t="shared" si="5"/>
        <v>0.65476190476190477</v>
      </c>
      <c r="AT22" t="str">
        <f t="shared" si="6"/>
        <v>29Total Buses</v>
      </c>
    </row>
    <row r="23" spans="2:46" x14ac:dyDescent="0.25">
      <c r="B23" t="s">
        <v>17</v>
      </c>
      <c r="C23" s="3">
        <v>100</v>
      </c>
      <c r="D23" s="3">
        <v>5</v>
      </c>
      <c r="E23" s="4">
        <v>5</v>
      </c>
      <c r="F23" s="5">
        <v>42.69</v>
      </c>
      <c r="G23" s="5"/>
      <c r="H23" s="8"/>
      <c r="J23" t="s">
        <v>51</v>
      </c>
      <c r="K23" s="4">
        <v>1322</v>
      </c>
      <c r="M23" t="str">
        <f>J23</f>
        <v>East-West Express</v>
      </c>
      <c r="N23" s="4">
        <f>K23</f>
        <v>1322</v>
      </c>
      <c r="R23" s="2" t="s">
        <v>57</v>
      </c>
      <c r="S23" t="s">
        <v>49</v>
      </c>
      <c r="U23" s="10" t="str">
        <f>R23</f>
        <v>Time</v>
      </c>
      <c r="V23" s="10" t="str">
        <f>S23</f>
        <v>Total Rider (Passanger)</v>
      </c>
      <c r="AA23" t="s">
        <v>64</v>
      </c>
      <c r="AI23" s="18" t="s">
        <v>77</v>
      </c>
    </row>
    <row r="24" spans="2:46" x14ac:dyDescent="0.25">
      <c r="B24" t="s">
        <v>18</v>
      </c>
      <c r="C24" s="3">
        <v>100</v>
      </c>
      <c r="D24" s="3">
        <v>7</v>
      </c>
      <c r="E24" s="4">
        <v>7</v>
      </c>
      <c r="F24" s="5">
        <v>42.69</v>
      </c>
      <c r="G24" s="5"/>
      <c r="H24" s="8"/>
      <c r="R24" s="9">
        <v>0.48680555555555555</v>
      </c>
      <c r="S24" s="4">
        <v>108</v>
      </c>
      <c r="U24" s="10">
        <f>R24</f>
        <v>0.48680555555555555</v>
      </c>
      <c r="V24" s="5">
        <f>S24</f>
        <v>108</v>
      </c>
      <c r="AA24" t="s">
        <v>65</v>
      </c>
      <c r="AI24" s="13">
        <f>SUM($AL$9:$AL$15)/SUM($AJ$9:$AJ$15)</f>
        <v>0.4938515257325034</v>
      </c>
    </row>
    <row r="25" spans="2:46" x14ac:dyDescent="0.25">
      <c r="B25" t="s">
        <v>19</v>
      </c>
      <c r="C25" s="3">
        <v>100</v>
      </c>
      <c r="D25" s="3">
        <v>2</v>
      </c>
      <c r="E25" s="4">
        <v>2</v>
      </c>
      <c r="F25" s="5">
        <v>42.69</v>
      </c>
      <c r="G25" s="5"/>
      <c r="H25" s="8"/>
      <c r="I25" s="2"/>
      <c r="O25" s="2"/>
      <c r="Q25" s="2"/>
      <c r="V25" s="2"/>
      <c r="W25" s="2"/>
      <c r="Y25" s="2"/>
      <c r="Z25" s="15" t="s">
        <v>66</v>
      </c>
      <c r="AA25" s="2"/>
      <c r="AB25" s="2"/>
      <c r="AC25" s="2"/>
      <c r="AE25" s="2"/>
      <c r="AF25" s="2"/>
      <c r="AG25" s="2"/>
      <c r="AH25" s="2"/>
      <c r="AI25" s="2"/>
      <c r="AJ25" s="2"/>
      <c r="AK25" s="2"/>
      <c r="AL25" s="2"/>
    </row>
    <row r="26" spans="2:46" x14ac:dyDescent="0.25">
      <c r="B26" t="s">
        <v>20</v>
      </c>
      <c r="C26" s="3">
        <v>100</v>
      </c>
      <c r="D26" s="3">
        <v>5</v>
      </c>
      <c r="E26" s="4">
        <v>5</v>
      </c>
      <c r="F26" s="5">
        <v>42.69</v>
      </c>
      <c r="G26" s="5"/>
      <c r="H26" s="8"/>
      <c r="J26" t="s">
        <v>54</v>
      </c>
      <c r="R26" t="s">
        <v>58</v>
      </c>
      <c r="U26" t="str">
        <f>R26</f>
        <v>Off-Peak Hour of Operation</v>
      </c>
      <c r="Z26" t="str">
        <f>IF(AA19&lt;0,"YOY change suggest room for improvement,""We are doing well on the current Year")</f>
        <v>YOY change suggest room for improvement,"We are doing well on the current Year</v>
      </c>
    </row>
    <row r="27" spans="2:46" x14ac:dyDescent="0.25">
      <c r="B27" t="s">
        <v>21</v>
      </c>
      <c r="C27" s="3">
        <v>100</v>
      </c>
      <c r="D27" s="3">
        <v>6</v>
      </c>
      <c r="E27" s="4">
        <v>6</v>
      </c>
      <c r="F27" s="5">
        <v>42.69</v>
      </c>
      <c r="G27" s="5"/>
      <c r="H27" s="8"/>
      <c r="J27" s="2" t="s">
        <v>55</v>
      </c>
      <c r="K27" t="s">
        <v>49</v>
      </c>
      <c r="L27" s="2"/>
      <c r="M27" s="2" t="str">
        <f>J27</f>
        <v>RouteName</v>
      </c>
      <c r="N27" t="str">
        <f>K27</f>
        <v>Total Rider (Passanger)</v>
      </c>
      <c r="O27" s="2"/>
      <c r="P27" s="7"/>
      <c r="Q27" s="2"/>
      <c r="R27" s="2" t="s">
        <v>57</v>
      </c>
      <c r="S27" t="s">
        <v>49</v>
      </c>
      <c r="T27" s="2"/>
      <c r="U27" s="11">
        <f>R28</f>
        <v>0.52361111111111114</v>
      </c>
      <c r="V27" s="5">
        <f>GETPIVOTDATA("[Measures].[Total Rider (Passanger)]",$R$27,"[Facttable_ridership].[Time]","[Facttable_ridership].[Time].&amp;[1899-12-30T12:34:00]")</f>
        <v>15</v>
      </c>
      <c r="W27" s="2"/>
      <c r="Y27" s="2"/>
      <c r="Z27" s="2"/>
      <c r="AA27" s="2"/>
      <c r="AB27" s="2"/>
      <c r="AC27" s="2"/>
      <c r="AE27" s="2"/>
      <c r="AF27" s="2"/>
      <c r="AG27" s="2"/>
      <c r="AH27" s="2"/>
      <c r="AI27" s="2"/>
      <c r="AJ27" s="2"/>
      <c r="AK27" s="2"/>
      <c r="AL27" s="2"/>
    </row>
    <row r="28" spans="2:46" x14ac:dyDescent="0.25">
      <c r="B28" t="s">
        <v>22</v>
      </c>
      <c r="C28" s="3">
        <v>100</v>
      </c>
      <c r="D28" s="3">
        <v>7</v>
      </c>
      <c r="E28" s="4">
        <v>7</v>
      </c>
      <c r="F28" s="5">
        <v>42.69</v>
      </c>
      <c r="G28" s="5"/>
      <c r="H28" s="8"/>
      <c r="J28" t="s">
        <v>52</v>
      </c>
      <c r="K28" s="4">
        <v>185</v>
      </c>
      <c r="M28" t="str">
        <f>J28</f>
        <v>South Line</v>
      </c>
      <c r="N28">
        <f>K28</f>
        <v>185</v>
      </c>
      <c r="R28" s="9">
        <v>0.52361111111111114</v>
      </c>
      <c r="S28" s="4">
        <v>15</v>
      </c>
    </row>
    <row r="29" spans="2:46" x14ac:dyDescent="0.25">
      <c r="B29" t="s">
        <v>23</v>
      </c>
      <c r="C29" s="3">
        <v>100</v>
      </c>
      <c r="D29" s="3">
        <v>5</v>
      </c>
      <c r="E29" s="4">
        <v>5</v>
      </c>
      <c r="F29" s="5">
        <v>42.69</v>
      </c>
      <c r="G29" s="5"/>
      <c r="H29" s="8"/>
    </row>
    <row r="30" spans="2:46" x14ac:dyDescent="0.25">
      <c r="B30" t="s">
        <v>24</v>
      </c>
      <c r="C30" s="3">
        <v>100</v>
      </c>
      <c r="D30" s="3">
        <v>4</v>
      </c>
      <c r="E30" s="4">
        <v>4</v>
      </c>
      <c r="F30" s="5">
        <v>42.69</v>
      </c>
      <c r="G30" s="5"/>
      <c r="H30" s="8"/>
    </row>
    <row r="31" spans="2:46" x14ac:dyDescent="0.25">
      <c r="B31" t="s">
        <v>25</v>
      </c>
      <c r="C31" s="3">
        <v>100</v>
      </c>
      <c r="D31" s="3">
        <v>3</v>
      </c>
      <c r="E31" s="4">
        <v>3</v>
      </c>
      <c r="F31" s="5">
        <v>42.69</v>
      </c>
      <c r="G31" s="5"/>
      <c r="H31" s="8"/>
    </row>
    <row r="32" spans="2:46" x14ac:dyDescent="0.25">
      <c r="B32" t="s">
        <v>26</v>
      </c>
      <c r="C32" s="3">
        <v>100</v>
      </c>
      <c r="D32" s="3">
        <v>7</v>
      </c>
      <c r="E32" s="4">
        <v>7</v>
      </c>
      <c r="F32" s="5">
        <v>42.69</v>
      </c>
      <c r="G32" s="5"/>
      <c r="H32" s="8"/>
    </row>
    <row r="33" spans="2:8" x14ac:dyDescent="0.25">
      <c r="B33" t="s">
        <v>27</v>
      </c>
      <c r="C33" s="3">
        <v>100</v>
      </c>
      <c r="D33" s="3">
        <v>2</v>
      </c>
      <c r="E33" s="4">
        <v>2</v>
      </c>
      <c r="F33" s="5">
        <v>42.69</v>
      </c>
      <c r="G33" s="5"/>
      <c r="H33" s="8"/>
    </row>
    <row r="34" spans="2:8" x14ac:dyDescent="0.25">
      <c r="B34" t="s">
        <v>28</v>
      </c>
      <c r="C34" s="3">
        <v>100</v>
      </c>
      <c r="D34" s="3">
        <v>8</v>
      </c>
      <c r="E34" s="4">
        <v>8</v>
      </c>
      <c r="F34" s="5">
        <v>42.69</v>
      </c>
      <c r="G34" s="5"/>
      <c r="H34" s="8"/>
    </row>
    <row r="35" spans="2:8" x14ac:dyDescent="0.25">
      <c r="B35" t="s">
        <v>29</v>
      </c>
      <c r="C35" s="3">
        <v>100</v>
      </c>
      <c r="D35" s="3">
        <v>9</v>
      </c>
      <c r="E35" s="4">
        <v>9</v>
      </c>
      <c r="F35" s="5">
        <v>42.69</v>
      </c>
      <c r="G35" s="5"/>
      <c r="H35" s="8"/>
    </row>
    <row r="36" spans="2:8" x14ac:dyDescent="0.25">
      <c r="B36" t="s">
        <v>30</v>
      </c>
      <c r="C36" s="3">
        <v>100</v>
      </c>
      <c r="D36" s="3">
        <v>4</v>
      </c>
      <c r="E36" s="4">
        <v>4</v>
      </c>
      <c r="F36" s="5">
        <v>42.69</v>
      </c>
      <c r="G36" s="5"/>
      <c r="H36" s="8"/>
    </row>
    <row r="37" spans="2:8" x14ac:dyDescent="0.25">
      <c r="B37" t="s">
        <v>31</v>
      </c>
      <c r="C37" s="3">
        <v>100</v>
      </c>
      <c r="D37" s="3">
        <v>6</v>
      </c>
      <c r="E37" s="4">
        <v>6</v>
      </c>
      <c r="F37" s="5">
        <v>42.69</v>
      </c>
      <c r="G37" s="5"/>
      <c r="H37" s="8"/>
    </row>
    <row r="38" spans="2:8" x14ac:dyDescent="0.25">
      <c r="B38" t="s">
        <v>32</v>
      </c>
      <c r="C38" s="3">
        <v>100</v>
      </c>
      <c r="D38" s="3">
        <v>6</v>
      </c>
      <c r="E38" s="4">
        <v>6</v>
      </c>
      <c r="F38" s="5">
        <v>42.69</v>
      </c>
      <c r="G38" s="5"/>
      <c r="H38" s="8"/>
    </row>
    <row r="39" spans="2:8" x14ac:dyDescent="0.25">
      <c r="B39" t="s">
        <v>33</v>
      </c>
      <c r="C39" s="3">
        <v>100</v>
      </c>
      <c r="D39" s="3">
        <v>5</v>
      </c>
      <c r="E39" s="4">
        <v>5</v>
      </c>
      <c r="F39" s="5">
        <v>42.69</v>
      </c>
      <c r="G39" s="5"/>
      <c r="H39" s="8"/>
    </row>
    <row r="40" spans="2:8" x14ac:dyDescent="0.25">
      <c r="B40" t="s">
        <v>34</v>
      </c>
      <c r="C40" s="3">
        <v>100</v>
      </c>
      <c r="D40" s="3">
        <v>3</v>
      </c>
      <c r="E40" s="4">
        <v>3</v>
      </c>
      <c r="F40" s="5">
        <v>42.69</v>
      </c>
      <c r="G40" s="5"/>
      <c r="H40" s="8"/>
    </row>
    <row r="41" spans="2:8" x14ac:dyDescent="0.25">
      <c r="B41" t="s">
        <v>35</v>
      </c>
      <c r="C41" s="3">
        <v>100</v>
      </c>
      <c r="D41" s="3">
        <v>7</v>
      </c>
      <c r="E41" s="4">
        <v>7</v>
      </c>
      <c r="F41" s="5">
        <v>42.69</v>
      </c>
      <c r="G41" s="5"/>
      <c r="H41" s="8"/>
    </row>
    <row r="42" spans="2:8" x14ac:dyDescent="0.25">
      <c r="B42" t="s">
        <v>36</v>
      </c>
      <c r="C42" s="3">
        <v>100</v>
      </c>
      <c r="D42" s="3">
        <v>3</v>
      </c>
      <c r="E42" s="4">
        <v>3</v>
      </c>
      <c r="F42" s="5">
        <v>42.69</v>
      </c>
      <c r="G42" s="5"/>
      <c r="H42" s="8"/>
    </row>
    <row r="43" spans="2:8" x14ac:dyDescent="0.25">
      <c r="B43" t="s">
        <v>37</v>
      </c>
      <c r="C43" s="3">
        <v>100</v>
      </c>
      <c r="D43" s="3">
        <v>4</v>
      </c>
      <c r="E43" s="4">
        <v>4</v>
      </c>
      <c r="F43" s="5">
        <v>42.69</v>
      </c>
      <c r="G43" s="5"/>
      <c r="H43" s="8"/>
    </row>
    <row r="44" spans="2:8" x14ac:dyDescent="0.25">
      <c r="B44" t="s">
        <v>38</v>
      </c>
      <c r="C44" s="3">
        <v>100</v>
      </c>
      <c r="D44" s="3">
        <v>3</v>
      </c>
      <c r="E44" s="4">
        <v>3</v>
      </c>
      <c r="F44" s="5">
        <v>42.69</v>
      </c>
      <c r="G44" s="5"/>
      <c r="H44" s="8"/>
    </row>
    <row r="45" spans="2:8" x14ac:dyDescent="0.25">
      <c r="B45" t="s">
        <v>39</v>
      </c>
      <c r="C45" s="3">
        <v>100</v>
      </c>
      <c r="D45" s="3">
        <v>8</v>
      </c>
      <c r="E45" s="4">
        <v>8</v>
      </c>
      <c r="F45" s="5">
        <v>42.69</v>
      </c>
      <c r="G45" s="5"/>
      <c r="H45" s="8"/>
    </row>
    <row r="46" spans="2:8" x14ac:dyDescent="0.25">
      <c r="B46" t="s">
        <v>40</v>
      </c>
      <c r="C46" s="3">
        <v>100</v>
      </c>
      <c r="D46" s="3">
        <v>8</v>
      </c>
      <c r="E46" s="4">
        <v>8</v>
      </c>
      <c r="F46" s="5">
        <v>42.69</v>
      </c>
      <c r="G46" s="5"/>
      <c r="H46" s="8"/>
    </row>
    <row r="47" spans="2:8" x14ac:dyDescent="0.25">
      <c r="B47" t="s">
        <v>41</v>
      </c>
      <c r="C47" s="3">
        <v>100</v>
      </c>
      <c r="D47" s="3">
        <v>2</v>
      </c>
      <c r="E47" s="4">
        <v>2</v>
      </c>
      <c r="F47" s="5">
        <v>42.69</v>
      </c>
      <c r="G47" s="5"/>
      <c r="H47" s="8"/>
    </row>
    <row r="48" spans="2:8" x14ac:dyDescent="0.25">
      <c r="B48" t="s">
        <v>42</v>
      </c>
      <c r="C48" s="3">
        <v>100</v>
      </c>
      <c r="D48" s="3">
        <v>11</v>
      </c>
      <c r="E48" s="4">
        <v>11</v>
      </c>
      <c r="F48" s="5">
        <v>42.69</v>
      </c>
      <c r="G48" s="5"/>
      <c r="H48" s="8"/>
    </row>
    <row r="49" spans="2:8" x14ac:dyDescent="0.25">
      <c r="B49" t="s">
        <v>43</v>
      </c>
      <c r="C49" s="3">
        <v>100</v>
      </c>
      <c r="D49" s="3">
        <v>3</v>
      </c>
      <c r="E49" s="4">
        <v>3</v>
      </c>
      <c r="F49" s="5">
        <v>42.69</v>
      </c>
      <c r="G49" s="5"/>
      <c r="H49" s="8"/>
    </row>
    <row r="50" spans="2:8" x14ac:dyDescent="0.25">
      <c r="B50" t="s">
        <v>44</v>
      </c>
      <c r="C50" s="3">
        <v>100</v>
      </c>
      <c r="D50" s="3">
        <v>3</v>
      </c>
      <c r="E50" s="4">
        <v>3</v>
      </c>
      <c r="F50" s="5">
        <v>42.69</v>
      </c>
      <c r="G50" s="5"/>
      <c r="H50" s="8"/>
    </row>
    <row r="51" spans="2:8" x14ac:dyDescent="0.25">
      <c r="B51" t="s">
        <v>45</v>
      </c>
      <c r="C51" s="3">
        <v>100</v>
      </c>
      <c r="D51" s="3">
        <v>4</v>
      </c>
      <c r="E51" s="4">
        <v>4</v>
      </c>
      <c r="F51" s="5">
        <v>42.69</v>
      </c>
      <c r="G51" s="5"/>
      <c r="H51" s="8"/>
    </row>
    <row r="52" spans="2:8" x14ac:dyDescent="0.25">
      <c r="B52" t="s">
        <v>46</v>
      </c>
      <c r="C52" s="3">
        <v>100</v>
      </c>
      <c r="D52" s="3">
        <v>6</v>
      </c>
      <c r="E52" s="4">
        <v>6</v>
      </c>
      <c r="F52" s="5">
        <v>42.69</v>
      </c>
      <c r="G52" s="5"/>
      <c r="H52" s="8"/>
    </row>
    <row r="53" spans="2:8" x14ac:dyDescent="0.25">
      <c r="B53" t="s">
        <v>47</v>
      </c>
      <c r="C53" s="3">
        <v>100</v>
      </c>
      <c r="D53" s="3">
        <v>4</v>
      </c>
      <c r="E53" s="4">
        <v>4</v>
      </c>
      <c r="F53" s="5">
        <v>42.69</v>
      </c>
      <c r="G53" s="5"/>
      <c r="H53" s="8"/>
    </row>
    <row r="54" spans="2:8" x14ac:dyDescent="0.25">
      <c r="B54" t="s">
        <v>48</v>
      </c>
      <c r="C54" s="3">
        <v>100</v>
      </c>
      <c r="D54" s="3">
        <v>6</v>
      </c>
      <c r="E54" s="4">
        <v>6</v>
      </c>
      <c r="F54" s="5">
        <v>42.69</v>
      </c>
      <c r="G54" s="5"/>
      <c r="H54" s="8"/>
    </row>
  </sheetData>
  <pageMargins left="0.7" right="0.7" top="0.75" bottom="0.75" header="0.3" footer="0.3"/>
  <pageSetup orientation="portrait" r:id="rId14"/>
  <drawing r:id="rId1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697A7-1E51-48DE-BA48-D5C34A1F361B}">
  <dimension ref="D20"/>
  <sheetViews>
    <sheetView workbookViewId="0">
      <selection activeCell="F17" sqref="F16:F17"/>
    </sheetView>
  </sheetViews>
  <sheetFormatPr defaultRowHeight="15" x14ac:dyDescent="0.25"/>
  <sheetData>
    <row r="20" spans="4:4" x14ac:dyDescent="0.25">
      <c r="D20" s="1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703AD-7A31-49CB-BE99-B9AB7DB2CBF2}">
  <dimension ref="A1"/>
  <sheetViews>
    <sheetView showGridLines="0" showRowColHeaders="0" tabSelected="1" workbookViewId="0">
      <selection activeCell="I103" sqref="I103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Props1.xml><?xml version="1.0" encoding="utf-8"?>
<ds:datastoreItem xmlns:ds="http://schemas.openxmlformats.org/officeDocument/2006/customXml" ds:itemID="{6997235A-E05F-4F8E-9497-788FF8DCFDD5}">
  <ds:schemaRefs/>
</ds:datastoreItem>
</file>

<file path=customXml/itemProps2.xml><?xml version="1.0" encoding="utf-8"?>
<ds:datastoreItem xmlns:ds="http://schemas.openxmlformats.org/officeDocument/2006/customXml" ds:itemID="{EE723953-36A5-4FE8-859F-04F57A23A5F3}">
  <ds:schemaRefs/>
</ds:datastoreItem>
</file>

<file path=customXml/itemProps3.xml><?xml version="1.0" encoding="utf-8"?>
<ds:datastoreItem xmlns:ds="http://schemas.openxmlformats.org/officeDocument/2006/customXml" ds:itemID="{EA909FAD-E6BF-4939-800E-03B003EA51E3}">
  <ds:schemaRefs/>
</ds:datastoreItem>
</file>

<file path=customXml/itemProps4.xml><?xml version="1.0" encoding="utf-8"?>
<ds:datastoreItem xmlns:ds="http://schemas.openxmlformats.org/officeDocument/2006/customXml" ds:itemID="{46125A1F-EB6D-425D-969F-7E60158F1D9C}">
  <ds:schemaRefs/>
</ds:datastoreItem>
</file>

<file path=customXml/itemProps5.xml><?xml version="1.0" encoding="utf-8"?>
<ds:datastoreItem xmlns:ds="http://schemas.openxmlformats.org/officeDocument/2006/customXml" ds:itemID="{21D96C87-B03E-418A-8E12-A30ECD075F18}">
  <ds:schemaRefs/>
</ds:datastoreItem>
</file>

<file path=customXml/itemProps6.xml><?xml version="1.0" encoding="utf-8"?>
<ds:datastoreItem xmlns:ds="http://schemas.openxmlformats.org/officeDocument/2006/customXml" ds:itemID="{6E46A47D-8024-42D0-8EE3-1AA78744DB39}">
  <ds:schemaRefs/>
</ds:datastoreItem>
</file>

<file path=customXml/itemProps7.xml><?xml version="1.0" encoding="utf-8"?>
<ds:datastoreItem xmlns:ds="http://schemas.openxmlformats.org/officeDocument/2006/customXml" ds:itemID="{19225E48-2983-4F8D-9613-B87C2EAB609E}">
  <ds:schemaRefs/>
</ds:datastoreItem>
</file>

<file path=customXml/itemProps8.xml><?xml version="1.0" encoding="utf-8"?>
<ds:datastoreItem xmlns:ds="http://schemas.openxmlformats.org/officeDocument/2006/customXml" ds:itemID="{C70DD621-ACC4-4658-9BCE-FCCDE98DA327}">
  <ds:schemaRefs/>
</ds:datastoreItem>
</file>

<file path=customXml/itemProps9.xml><?xml version="1.0" encoding="utf-8"?>
<ds:datastoreItem xmlns:ds="http://schemas.openxmlformats.org/officeDocument/2006/customXml" ds:itemID="{E2264CC9-7D15-4C02-8CE4-5414D332F757}">
  <ds:schemaRefs/>
</ds:datastoreItem>
</file>

<file path=customXml/itemProps10.xml><?xml version="1.0" encoding="utf-8"?>
<ds:datastoreItem xmlns:ds="http://schemas.openxmlformats.org/officeDocument/2006/customXml" ds:itemID="{7B6AC575-FF89-4AAA-82CC-212DDD515FF5}">
  <ds:schemaRefs/>
</ds:datastoreItem>
</file>

<file path=customXml/itemProps11.xml><?xml version="1.0" encoding="utf-8"?>
<ds:datastoreItem xmlns:ds="http://schemas.openxmlformats.org/officeDocument/2006/customXml" ds:itemID="{3DB42F1D-35B4-4457-8F39-65F3A40F9E38}">
  <ds:schemaRefs/>
</ds:datastoreItem>
</file>

<file path=customXml/itemProps12.xml><?xml version="1.0" encoding="utf-8"?>
<ds:datastoreItem xmlns:ds="http://schemas.openxmlformats.org/officeDocument/2006/customXml" ds:itemID="{D989E68F-3283-4A2C-A5BC-D6C470761E7D}">
  <ds:schemaRefs/>
</ds:datastoreItem>
</file>

<file path=customXml/itemProps13.xml><?xml version="1.0" encoding="utf-8"?>
<ds:datastoreItem xmlns:ds="http://schemas.openxmlformats.org/officeDocument/2006/customXml" ds:itemID="{56587334-10AB-4682-B0D8-75FDBDF15F23}">
  <ds:schemaRefs/>
</ds:datastoreItem>
</file>

<file path=customXml/itemProps14.xml><?xml version="1.0" encoding="utf-8"?>
<ds:datastoreItem xmlns:ds="http://schemas.openxmlformats.org/officeDocument/2006/customXml" ds:itemID="{C21D549D-0F9D-4C80-9D8E-66E29F418214}">
  <ds:schemaRefs/>
</ds:datastoreItem>
</file>

<file path=customXml/itemProps15.xml><?xml version="1.0" encoding="utf-8"?>
<ds:datastoreItem xmlns:ds="http://schemas.openxmlformats.org/officeDocument/2006/customXml" ds:itemID="{80BA02ED-4EDE-4051-B3F1-5BE58FF29C99}">
  <ds:schemaRefs/>
</ds:datastoreItem>
</file>

<file path=customXml/itemProps16.xml><?xml version="1.0" encoding="utf-8"?>
<ds:datastoreItem xmlns:ds="http://schemas.openxmlformats.org/officeDocument/2006/customXml" ds:itemID="{BA7A2508-3C2E-4170-A3CD-2E70A8C6A500}">
  <ds:schemaRefs/>
</ds:datastoreItem>
</file>

<file path=customXml/itemProps17.xml><?xml version="1.0" encoding="utf-8"?>
<ds:datastoreItem xmlns:ds="http://schemas.openxmlformats.org/officeDocument/2006/customXml" ds:itemID="{6947723F-68E5-4E15-B360-D0ECD2183F07}">
  <ds:schemaRefs/>
</ds:datastoreItem>
</file>

<file path=customXml/itemProps18.xml><?xml version="1.0" encoding="utf-8"?>
<ds:datastoreItem xmlns:ds="http://schemas.openxmlformats.org/officeDocument/2006/customXml" ds:itemID="{8A5E38C1-0B91-4BA4-B23D-CF8F14BE9191}">
  <ds:schemaRefs/>
</ds:datastoreItem>
</file>

<file path=customXml/itemProps19.xml><?xml version="1.0" encoding="utf-8"?>
<ds:datastoreItem xmlns:ds="http://schemas.openxmlformats.org/officeDocument/2006/customXml" ds:itemID="{75EB9BA6-93F6-4934-8797-FDB0B10CD5FE}">
  <ds:schemaRefs>
    <ds:schemaRef ds:uri="http://schemas.microsoft.com/DataMashup"/>
  </ds:schemaRefs>
</ds:datastoreItem>
</file>

<file path=customXml/itemProps20.xml><?xml version="1.0" encoding="utf-8"?>
<ds:datastoreItem xmlns:ds="http://schemas.openxmlformats.org/officeDocument/2006/customXml" ds:itemID="{EEACDB7F-A6C9-4864-BBC2-2A114B1BF1CA}">
  <ds:schemaRefs/>
</ds:datastoreItem>
</file>

<file path=customXml/itemProps21.xml><?xml version="1.0" encoding="utf-8"?>
<ds:datastoreItem xmlns:ds="http://schemas.openxmlformats.org/officeDocument/2006/customXml" ds:itemID="{EAE913EC-E774-4D06-B3A3-BE987FBCA505}">
  <ds:schemaRefs/>
</ds:datastoreItem>
</file>

<file path=customXml/itemProps22.xml><?xml version="1.0" encoding="utf-8"?>
<ds:datastoreItem xmlns:ds="http://schemas.openxmlformats.org/officeDocument/2006/customXml" ds:itemID="{B761A903-0379-4A1A-8F7D-19AFB657B16D}">
  <ds:schemaRefs/>
</ds:datastoreItem>
</file>

<file path=customXml/itemProps23.xml><?xml version="1.0" encoding="utf-8"?>
<ds:datastoreItem xmlns:ds="http://schemas.openxmlformats.org/officeDocument/2006/customXml" ds:itemID="{88CBE0DD-D65F-4C65-82AE-59D226BDDFB8}">
  <ds:schemaRefs/>
</ds:datastoreItem>
</file>

<file path=customXml/itemProps24.xml><?xml version="1.0" encoding="utf-8"?>
<ds:datastoreItem xmlns:ds="http://schemas.openxmlformats.org/officeDocument/2006/customXml" ds:itemID="{05615C71-DAA5-4BED-AE78-26437FAAADBB}">
  <ds:schemaRefs/>
</ds:datastoreItem>
</file>

<file path=customXml/itemProps25.xml><?xml version="1.0" encoding="utf-8"?>
<ds:datastoreItem xmlns:ds="http://schemas.openxmlformats.org/officeDocument/2006/customXml" ds:itemID="{8EDE0B16-B820-439F-959C-53343B398A17}">
  <ds:schemaRefs/>
</ds:datastoreItem>
</file>

<file path=customXml/itemProps26.xml><?xml version="1.0" encoding="utf-8"?>
<ds:datastoreItem xmlns:ds="http://schemas.openxmlformats.org/officeDocument/2006/customXml" ds:itemID="{BFB2CD15-5578-443B-853C-BB9D82F3BA11}">
  <ds:schemaRefs/>
</ds:datastoreItem>
</file>

<file path=customXml/itemProps27.xml><?xml version="1.0" encoding="utf-8"?>
<ds:datastoreItem xmlns:ds="http://schemas.openxmlformats.org/officeDocument/2006/customXml" ds:itemID="{C2E857FF-CD44-417A-8685-89EE9A32FF5F}">
  <ds:schemaRefs/>
</ds:datastoreItem>
</file>

<file path=customXml/itemProps28.xml><?xml version="1.0" encoding="utf-8"?>
<ds:datastoreItem xmlns:ds="http://schemas.openxmlformats.org/officeDocument/2006/customXml" ds:itemID="{8693F8FF-FD4C-4800-9974-71246286CCF1}">
  <ds:schemaRefs/>
</ds:datastoreItem>
</file>

<file path=customXml/itemProps29.xml><?xml version="1.0" encoding="utf-8"?>
<ds:datastoreItem xmlns:ds="http://schemas.openxmlformats.org/officeDocument/2006/customXml" ds:itemID="{8512A0E3-1299-48EA-837A-E2BBA367D96B}">
  <ds:schemaRefs/>
</ds:datastoreItem>
</file>

<file path=customXml/itemProps30.xml><?xml version="1.0" encoding="utf-8"?>
<ds:datastoreItem xmlns:ds="http://schemas.openxmlformats.org/officeDocument/2006/customXml" ds:itemID="{E529F664-9D0E-486C-A3F9-0AC1D8FD5CF6}">
  <ds:schemaRefs/>
</ds:datastoreItem>
</file>

<file path=customXml/itemProps31.xml><?xml version="1.0" encoding="utf-8"?>
<ds:datastoreItem xmlns:ds="http://schemas.openxmlformats.org/officeDocument/2006/customXml" ds:itemID="{279608B2-E6BA-43C5-ADD7-58341E018E6F}">
  <ds:schemaRefs/>
</ds:datastoreItem>
</file>

<file path=customXml/itemProps32.xml><?xml version="1.0" encoding="utf-8"?>
<ds:datastoreItem xmlns:ds="http://schemas.openxmlformats.org/officeDocument/2006/customXml" ds:itemID="{CBAAC52A-F686-464F-8B9A-C7B4334DD7B4}">
  <ds:schemaRefs/>
</ds:datastoreItem>
</file>

<file path=customXml/itemProps33.xml><?xml version="1.0" encoding="utf-8"?>
<ds:datastoreItem xmlns:ds="http://schemas.openxmlformats.org/officeDocument/2006/customXml" ds:itemID="{4965939D-C53A-4474-A788-C21B5EB4919E}">
  <ds:schemaRefs/>
</ds:datastoreItem>
</file>

<file path=customXml/itemProps34.xml><?xml version="1.0" encoding="utf-8"?>
<ds:datastoreItem xmlns:ds="http://schemas.openxmlformats.org/officeDocument/2006/customXml" ds:itemID="{D6710299-CDD0-405E-997A-F9D6DD06B2BD}">
  <ds:schemaRefs/>
</ds:datastoreItem>
</file>

<file path=customXml/itemProps35.xml><?xml version="1.0" encoding="utf-8"?>
<ds:datastoreItem xmlns:ds="http://schemas.openxmlformats.org/officeDocument/2006/customXml" ds:itemID="{DC02A7AF-83C5-4D6B-8883-109A36D2A23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Analysis_01</vt:lpstr>
      <vt:lpstr>Dim_Demographics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2024-05-25T11:03:44Z</dcterms:created>
  <dcterms:modified xsi:type="dcterms:W3CDTF">2024-07-27T11:48:27Z</dcterms:modified>
</cp:coreProperties>
</file>